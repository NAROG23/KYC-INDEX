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192.168.1.250\echange\PROCEDURES-INTERNES\LBC-FT\DOCS_INTERNE\2025-GS\"/>
    </mc:Choice>
  </mc:AlternateContent>
  <xr:revisionPtr revIDLastSave="0" documentId="13_ncr:1_{1BAC4D12-A4CE-4F6F-BA11-63ED5B431FEB}" xr6:coauthVersionLast="47" xr6:coauthVersionMax="47" xr10:uidLastSave="{00000000-0000-0000-0000-000000000000}"/>
  <bookViews>
    <workbookView xWindow="-120" yWindow="-120" windowWidth="29040" windowHeight="15720" xr2:uid="{00000000-000D-0000-FFFF-FFFF00000000}"/>
  </bookViews>
  <sheets>
    <sheet name="PP-CLIENT" sheetId="2" r:id="rId1"/>
    <sheet name="PP-CLIENT-LOCATION" sheetId="15" r:id="rId2"/>
    <sheet name="PM-CLIENT" sheetId="11" r:id="rId3"/>
    <sheet name="PM-CLIENT-LOCATION" sheetId="16" r:id="rId4"/>
    <sheet name="PP-MANDATAIRE" sheetId="13" r:id="rId5"/>
    <sheet name="PP-MANDATAIRE-LOCATION" sheetId="17" r:id="rId6"/>
    <sheet name="PM-MANDATAIRE" sheetId="14" r:id="rId7"/>
    <sheet name="Màj" sheetId="12" state="hidden" r:id="rId8"/>
    <sheet name="PM-MANDATAIRE-LOCATION" sheetId="18" r:id="rId9"/>
    <sheet name="Liste facteurs" sheetId="10" r:id="rId10"/>
    <sheet name="Options" sheetId="6" state="hidden" r:id="rId11"/>
    <sheet name="Risque géographique" sheetId="7" state="hidden" r:id="rId12"/>
  </sheets>
  <definedNames>
    <definedName name="_xlnm.Print_Area" localSheetId="2">'PM-CLIENT'!$A$1:$G$105</definedName>
    <definedName name="_xlnm.Print_Area" localSheetId="3">'PM-CLIENT-LOCATION'!$A$1:$G$99</definedName>
    <definedName name="_xlnm.Print_Area" localSheetId="6">'PM-MANDATAIRE'!$A$1:$G$76</definedName>
    <definedName name="_xlnm.Print_Area" localSheetId="8">'PM-MANDATAIRE-LOCATION'!$A$1:$G$70</definedName>
    <definedName name="_xlnm.Print_Area" localSheetId="0">'PP-CLIENT'!$A$1:$G$76</definedName>
    <definedName name="_xlnm.Print_Area" localSheetId="1">'PP-CLIENT-LOCATION'!$A$1:$G$70</definedName>
    <definedName name="_xlnm.Print_Area" localSheetId="4">'PP-MANDATAIRE'!$A$1:$G$79</definedName>
    <definedName name="_xlnm.Print_Area" localSheetId="5">'PP-MANDATAIRE-LOCATION'!$A$1:$G$73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11" l="1"/>
  <c r="C23" i="2"/>
  <c r="H23" i="18"/>
  <c r="E8" i="18"/>
  <c r="H8" i="18" s="1"/>
  <c r="E6" i="18"/>
  <c r="H6" i="18" s="1"/>
  <c r="H23" i="17"/>
  <c r="E8" i="17"/>
  <c r="H8" i="17" s="1"/>
  <c r="E6" i="17"/>
  <c r="H6" i="17" s="1"/>
  <c r="H23" i="16"/>
  <c r="E8" i="16"/>
  <c r="H8" i="16" s="1"/>
  <c r="E6" i="16"/>
  <c r="H6" i="16" s="1"/>
  <c r="I41" i="18"/>
  <c r="I48" i="17"/>
  <c r="I50" i="17" s="1"/>
  <c r="I45" i="17"/>
  <c r="H45" i="17"/>
  <c r="H43" i="17"/>
  <c r="H42" i="17"/>
  <c r="H41" i="17"/>
  <c r="H36" i="17"/>
  <c r="H35" i="17"/>
  <c r="H34" i="17"/>
  <c r="H33" i="17"/>
  <c r="I80" i="16"/>
  <c r="I41" i="16"/>
  <c r="I48" i="16" s="1"/>
  <c r="I49" i="15"/>
  <c r="I51" i="15" s="1"/>
  <c r="I46" i="15"/>
  <c r="H46" i="15"/>
  <c r="H44" i="15"/>
  <c r="H43" i="15"/>
  <c r="H42" i="15"/>
  <c r="H37" i="15"/>
  <c r="H36" i="15"/>
  <c r="H35" i="15"/>
  <c r="H34" i="15"/>
  <c r="H23" i="15"/>
  <c r="E8" i="15"/>
  <c r="H8" i="15" s="1"/>
  <c r="E6" i="15"/>
  <c r="H6" i="15" s="1"/>
  <c r="C23" i="14"/>
  <c r="C23" i="13"/>
  <c r="I47" i="14"/>
  <c r="I54" i="14" s="1"/>
  <c r="E8" i="14"/>
  <c r="E6" i="14"/>
  <c r="I54" i="13"/>
  <c r="I56" i="13" s="1"/>
  <c r="I51" i="13"/>
  <c r="I52" i="13" s="1"/>
  <c r="H51" i="13"/>
  <c r="H49" i="13"/>
  <c r="H48" i="13"/>
  <c r="H47" i="13"/>
  <c r="H42" i="13"/>
  <c r="H41" i="13"/>
  <c r="H40" i="13"/>
  <c r="H39" i="13"/>
  <c r="H25" i="13"/>
  <c r="E8" i="13"/>
  <c r="H8" i="13" s="1"/>
  <c r="E6" i="13"/>
  <c r="H6" i="13" s="1"/>
  <c r="E8" i="11"/>
  <c r="E6" i="11"/>
  <c r="H43" i="2"/>
  <c r="H48" i="2"/>
  <c r="H49" i="2"/>
  <c r="H42" i="2"/>
  <c r="H41" i="2"/>
  <c r="H40" i="2"/>
  <c r="H25" i="2"/>
  <c r="E6" i="2"/>
  <c r="H6" i="2" s="1"/>
  <c r="I47" i="11"/>
  <c r="I54" i="11" s="1"/>
  <c r="I86" i="11"/>
  <c r="I55" i="2"/>
  <c r="I57" i="2" s="1"/>
  <c r="I52" i="2"/>
  <c r="I53" i="2" s="1"/>
  <c r="E8" i="2"/>
  <c r="H8" i="2" s="1"/>
  <c r="H52" i="2"/>
  <c r="H50" i="2"/>
  <c r="I48" i="18" l="1"/>
  <c r="I64" i="18" s="1"/>
  <c r="I46" i="17"/>
  <c r="I66" i="17" s="1"/>
  <c r="I93" i="16"/>
  <c r="I47" i="15"/>
  <c r="I63" i="15" s="1"/>
  <c r="I70" i="14"/>
  <c r="I72" i="13"/>
  <c r="I99" i="11"/>
  <c r="I6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1088D87F-EA59-45BB-BFB1-9167F54313A8}">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557032E7-A122-41CB-B210-E3CDF1E1AFBC}">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BCD13378-3916-41E9-ACDF-3EE8E6EF2C6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69" authorId="0" shapeId="0" xr:uid="{B5A68EC6-9122-4E5B-B3A3-DF68C508A380}">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3" authorId="0" shapeId="0" xr:uid="{7F5A8457-90CD-446E-9E78-0710355DD226}">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AF88FB0A-3DB3-4BE1-BB36-1F1552E3210F}">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3EE7A7C6-AE35-4236-8899-848006CE3589}">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321C1BE2-FC31-4F80-858E-D7ABCBDBA4D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98" authorId="0" shapeId="0" xr:uid="{39FF3806-7909-49C6-BF93-437A7E855C7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92" authorId="0" shapeId="0" xr:uid="{753582B8-23E8-496E-B530-82B5B869371C}">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0CCF722C-43E3-4DE6-BA00-C38B23D26E42}">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BBB5090B-02CB-4C82-A1EE-7B266AAC41DD}">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77929949-C3FD-4554-A210-5DFFB87C644F}">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72" authorId="0" shapeId="0" xr:uid="{7CB54463-3D56-4ADA-BD85-803684816E3A}">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6" authorId="0" shapeId="0" xr:uid="{961FA0A5-90EB-4D81-B87D-1DC9615656E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C32" authorId="0" shapeId="0" xr:uid="{F464E608-50AF-4065-9DC3-553F96F8B05C}">
      <text>
        <r>
          <rPr>
            <b/>
            <sz val="9"/>
            <color indexed="81"/>
            <rFont val="Tahoma"/>
            <family val="2"/>
          </rPr>
          <t>Kara Wong:</t>
        </r>
        <r>
          <rPr>
            <sz val="9"/>
            <color indexed="81"/>
            <rFont val="Tahoma"/>
            <family val="2"/>
          </rPr>
          <t xml:space="preserve">
Nous partons du principe que CREAHAUS S.A. est </t>
        </r>
        <r>
          <rPr>
            <b/>
            <u/>
            <sz val="9"/>
            <color indexed="81"/>
            <rFont val="Tahoma"/>
            <family val="2"/>
          </rPr>
          <t xml:space="preserve">toujours </t>
        </r>
        <r>
          <rPr>
            <sz val="9"/>
            <color indexed="81"/>
            <rFont val="Tahoma"/>
            <family val="2"/>
          </rPr>
          <t>le constructeur.</t>
        </r>
      </text>
    </comment>
    <comment ref="E33" authorId="0" shapeId="0" xr:uid="{9CA13563-A48B-4FB0-9995-1F4ED326C30F}">
      <text>
        <r>
          <rPr>
            <b/>
            <sz val="9"/>
            <color indexed="81"/>
            <rFont val="Tahoma"/>
            <family val="2"/>
          </rPr>
          <t>Kara Wong:</t>
        </r>
        <r>
          <rPr>
            <sz val="9"/>
            <color indexed="81"/>
            <rFont val="Tahoma"/>
            <family val="2"/>
          </rPr>
          <t xml:space="preserve">
A remplir uniquement s'il y a un autre intermédiaire à l'achat entre le client vendeur et vous-même.</t>
        </r>
      </text>
    </comment>
    <comment ref="B34" authorId="0" shapeId="0" xr:uid="{AA500805-41AB-48A7-8FCF-7F66C24FD343}">
      <text>
        <r>
          <rPr>
            <b/>
            <sz val="9"/>
            <color indexed="81"/>
            <rFont val="Tahoma"/>
            <family val="2"/>
          </rPr>
          <t>Kara Wong:</t>
        </r>
        <r>
          <rPr>
            <sz val="9"/>
            <color indexed="81"/>
            <rFont val="Tahoma"/>
            <family val="2"/>
          </rPr>
          <t xml:space="preserve">
A remplir uniquement s'il y a un autre intermédiaire à la vente entre le client acheteur et vous-même.</t>
        </r>
      </text>
    </comment>
    <comment ref="B69" authorId="0" shapeId="0" xr:uid="{62A08408-4C0B-4DC8-A7AF-A5034A23648B}">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Kara Wong</author>
  </authors>
  <commentList>
    <comment ref="B63" authorId="0" shapeId="0" xr:uid="{4810CCDD-3A05-498C-88AA-B7D69AF0DAC7}">
      <text>
        <r>
          <rPr>
            <b/>
            <sz val="9"/>
            <color indexed="81"/>
            <rFont val="Tahoma"/>
            <family val="2"/>
          </rPr>
          <t>Kara Wong:</t>
        </r>
        <r>
          <rPr>
            <sz val="9"/>
            <color indexed="81"/>
            <rFont val="Tahoma"/>
            <family val="2"/>
          </rPr>
          <t xml:space="preserve">
Cf. onglet "Liste facteurs" afin d'avoir une idée sur des facteurs qui peuvent influencer votre niveau de risque.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sandrine jodin</author>
  </authors>
  <commentList>
    <comment ref="B33" authorId="0" shapeId="0" xr:uid="{159ACCF9-AA45-4715-B7EA-811EF4B2C7E7}">
      <text>
        <r>
          <rPr>
            <b/>
            <sz val="9"/>
            <color indexed="81"/>
            <rFont val="Tahoma"/>
            <family val="2"/>
          </rPr>
          <t>sandrine jodin:</t>
        </r>
        <r>
          <rPr>
            <sz val="9"/>
            <color indexed="81"/>
            <rFont val="Tahoma"/>
            <family val="2"/>
          </rPr>
          <t xml:space="preserve">
 Samoa (pronounced Saa-Moh-uh) is an independent nation made up of 2 main islands, Upolu and Savaii and several smaller and uninhabited islands. American Samoa is one main island with a few smaller islands that is an overseas territory of the United States.</t>
        </r>
      </text>
    </comment>
    <comment ref="B34" authorId="0" shapeId="0" xr:uid="{83CB71A0-54D2-4BAD-9605-9AB4A1D8783A}">
      <text>
        <r>
          <rPr>
            <b/>
            <sz val="9"/>
            <color indexed="81"/>
            <rFont val="Tahoma"/>
            <family val="2"/>
          </rPr>
          <t>sandrine jodin:</t>
        </r>
        <r>
          <rPr>
            <sz val="9"/>
            <color indexed="81"/>
            <rFont val="Tahoma"/>
            <family val="2"/>
          </rPr>
          <t xml:space="preserve">
 Samoa (pronounced Saa-Moh-uh) is an independent nation made up of 2 main islands, Upolu and Savaii and several smaller and uninhabited islands. American Samoa is one main island with a few smaller islands that is an overseas territory of the United States.</t>
        </r>
      </text>
    </comment>
  </commentList>
</comments>
</file>

<file path=xl/sharedStrings.xml><?xml version="1.0" encoding="utf-8"?>
<sst xmlns="http://schemas.openxmlformats.org/spreadsheetml/2006/main" count="836" uniqueCount="253">
  <si>
    <t>https://www.un.org/securitycouncil/content/un-sc-consolidated-list</t>
  </si>
  <si>
    <t xml:space="preserve">Blacklist Source : </t>
  </si>
  <si>
    <t xml:space="preserve">Nom : </t>
  </si>
  <si>
    <t xml:space="preserve">Prénom : </t>
  </si>
  <si>
    <t xml:space="preserve">Date de naissance : </t>
  </si>
  <si>
    <t>Lieu de naissance :</t>
  </si>
  <si>
    <t xml:space="preserve">Pays : </t>
  </si>
  <si>
    <t>Profession :</t>
  </si>
  <si>
    <t>Adresse de résidence</t>
  </si>
  <si>
    <t>Excel sheet options :</t>
  </si>
  <si>
    <t>Célibataire</t>
  </si>
  <si>
    <t>Veuf(ve)/Divorcé(e)</t>
  </si>
  <si>
    <t xml:space="preserve">1. Situation Conjugale : </t>
  </si>
  <si>
    <t xml:space="preserve">Email : </t>
  </si>
  <si>
    <t>VEFA</t>
  </si>
  <si>
    <t>Location</t>
  </si>
  <si>
    <t>Oui</t>
  </si>
  <si>
    <t>Non</t>
  </si>
  <si>
    <t xml:space="preserve">Origine des fonds : </t>
  </si>
  <si>
    <t>2. Question fermée :</t>
  </si>
  <si>
    <t>4. Question fermée :</t>
  </si>
  <si>
    <t>Maison multifamiliale</t>
  </si>
  <si>
    <t>Maison unifamiliale</t>
  </si>
  <si>
    <t>Terrain</t>
  </si>
  <si>
    <t>5. ESTIMATION PROVISOIRE DU NIVEAU DE RISQUE</t>
  </si>
  <si>
    <t xml:space="preserve">5. Objet de la vente : </t>
  </si>
  <si>
    <t>Risque faible</t>
  </si>
  <si>
    <t>Risque moyen</t>
  </si>
  <si>
    <t>Risque élevé</t>
  </si>
  <si>
    <t>Territoires à risque élevé et autres pays surveillés par le GAFI</t>
  </si>
  <si>
    <t>Bahamas</t>
  </si>
  <si>
    <t>Pakistan</t>
  </si>
  <si>
    <t>Botswana</t>
  </si>
  <si>
    <t>Serbie</t>
  </si>
  <si>
    <t>Cambodge</t>
  </si>
  <si>
    <t>Sri Lanka</t>
  </si>
  <si>
    <t>Corée du Nord</t>
  </si>
  <si>
    <t>Syrie</t>
  </si>
  <si>
    <t>Ethiopie</t>
  </si>
  <si>
    <t>Trinité-et-Tobago</t>
  </si>
  <si>
    <t>Ghana</t>
  </si>
  <si>
    <t>Tunisie</t>
  </si>
  <si>
    <t>Iran</t>
  </si>
  <si>
    <t>Yémen</t>
  </si>
  <si>
    <t>source : http://www.fatf-gafi.org/countries/#high-risk</t>
  </si>
  <si>
    <t>Liste de l'UE des pays et territoires non coopératifs à des fins fiscales</t>
  </si>
  <si>
    <t>Aruba</t>
  </si>
  <si>
    <t>Iles Marshall</t>
  </si>
  <si>
    <t>Barbade</t>
  </si>
  <si>
    <t>Iles Vierges américaines</t>
  </si>
  <si>
    <t>Belize</t>
  </si>
  <si>
    <t>Oman</t>
  </si>
  <si>
    <t>Bermudes</t>
  </si>
  <si>
    <t>Samoa</t>
  </si>
  <si>
    <t>Dominique</t>
  </si>
  <si>
    <t>Samoa américaines</t>
  </si>
  <si>
    <t>Emirats arabes unis</t>
  </si>
  <si>
    <t>Fidji</t>
  </si>
  <si>
    <t>Vanuatu</t>
  </si>
  <si>
    <t>Guam</t>
  </si>
  <si>
    <t>https://ec.europa.eu/taxation_customs/tax-common-eu-list_en</t>
  </si>
  <si>
    <t xml:space="preserve">Liste de pays sous restrictions commerciales </t>
  </si>
  <si>
    <t>Afghanistan -Talibans</t>
  </si>
  <si>
    <t>République Démocratique du Congo</t>
  </si>
  <si>
    <t>Biélorussie</t>
  </si>
  <si>
    <t>Somalie</t>
  </si>
  <si>
    <t>Soudan</t>
  </si>
  <si>
    <t>Irak</t>
  </si>
  <si>
    <t>Soudan du Sud</t>
  </si>
  <si>
    <t>Liban</t>
  </si>
  <si>
    <t>Ukraine</t>
  </si>
  <si>
    <t>Libye</t>
  </si>
  <si>
    <t>Venezuela</t>
  </si>
  <si>
    <t>Myanmar - Birmanie</t>
  </si>
  <si>
    <t>Russie</t>
  </si>
  <si>
    <t>Zimbabwe</t>
  </si>
  <si>
    <t>République Centrafricaine</t>
  </si>
  <si>
    <t>http://www.douane.gouv.fr/articles/a10914-restrictions-commerciales-a-l-encontre-de-certains-pays</t>
  </si>
  <si>
    <t>Risques géographiques</t>
  </si>
  <si>
    <t>FACTEURS POUVANT INDIQUER UN RISQUE DE BLANCHIMENT OU DE FINANCEMENT DU TERRORISME PLUS ELEVE</t>
  </si>
  <si>
    <t xml:space="preserve">Forme juridique : </t>
  </si>
  <si>
    <t>Qualité</t>
  </si>
  <si>
    <t xml:space="preserve">6. Entrée en relation : </t>
  </si>
  <si>
    <t>Relation à distance</t>
  </si>
  <si>
    <t>6. ESTIMATION PROVISOIRE DU NIVEAU DE RISQUE</t>
  </si>
  <si>
    <t>7. Origine des fonds</t>
  </si>
  <si>
    <t>Autres revenus (revenus locatifs, revenus de placement, vente immobilière)</t>
  </si>
  <si>
    <t>Donation, héritage ou succession</t>
  </si>
  <si>
    <t>Prêt bancaire</t>
  </si>
  <si>
    <t>Lot (si applicable) :</t>
  </si>
  <si>
    <t>Marié(e)/PACS</t>
  </si>
  <si>
    <t xml:space="preserve">8. Intermédiaire à la vente : </t>
  </si>
  <si>
    <t>KOBOY S.à r.l.</t>
  </si>
  <si>
    <t xml:space="preserve">Tél : </t>
  </si>
  <si>
    <t>N° et rue :</t>
  </si>
  <si>
    <t xml:space="preserve">Code postal : </t>
  </si>
  <si>
    <t>Nationalité :</t>
  </si>
  <si>
    <t>Personne 1</t>
  </si>
  <si>
    <t xml:space="preserve">Objet de la relation d'affaires : </t>
  </si>
  <si>
    <t>Luris S.à r.l.</t>
  </si>
  <si>
    <t>Immostone S.à r.l.</t>
  </si>
  <si>
    <t>Impulth S.à r.l.</t>
  </si>
  <si>
    <t>Bureau Immobilier Christian Jeanpaul S.à r.l.</t>
  </si>
  <si>
    <t>CREAHAUS S.A.</t>
  </si>
  <si>
    <t xml:space="preserve">N° matricule : </t>
  </si>
  <si>
    <t xml:space="preserve">Qualité matrimoniale : </t>
  </si>
  <si>
    <t>Date d'entrée en relation :</t>
  </si>
  <si>
    <t>4. ESTIMATION PROVISOIRE DU NIVEAU DE RISQUE</t>
  </si>
  <si>
    <t>Personne 2 (si applicable)</t>
  </si>
  <si>
    <t>Données de contact</t>
  </si>
  <si>
    <t xml:space="preserve">Type de relation : </t>
  </si>
  <si>
    <t>Type de relation</t>
  </si>
  <si>
    <t>Face-à-face (client est physiquement présent)</t>
  </si>
  <si>
    <t>Relation à distance (client n'est pas physiquement présent)</t>
  </si>
  <si>
    <t xml:space="preserve">Type de document obtenu : </t>
  </si>
  <si>
    <t>Type de document obtenu</t>
  </si>
  <si>
    <t>Carte d'identité</t>
  </si>
  <si>
    <t xml:space="preserve">Passeport </t>
  </si>
  <si>
    <t xml:space="preserve">Date de validité : </t>
  </si>
  <si>
    <t xml:space="preserve">Date de certification : </t>
  </si>
  <si>
    <t>Signature de la vérification ?</t>
  </si>
  <si>
    <t xml:space="preserve">Niveau provisoire du risque évalué par l'intermédiaire : </t>
  </si>
  <si>
    <t>Société de l'intermédiaire (si applicable) :</t>
  </si>
  <si>
    <t>Nom, prénom de l'intermédiaire :</t>
  </si>
  <si>
    <t>Signature de l'intermédiaire :</t>
  </si>
  <si>
    <t xml:space="preserve">3. Objet de la transaction : </t>
  </si>
  <si>
    <t>Vente terrain</t>
  </si>
  <si>
    <t>Achat terrain</t>
  </si>
  <si>
    <t>1. NATURE ET OBJET DE LA RELATION D'AFFAIRES</t>
  </si>
  <si>
    <t>Achat habitation (terrain + maison)</t>
  </si>
  <si>
    <t xml:space="preserve">Société acquéreuse :  </t>
  </si>
  <si>
    <t>Constructeur</t>
  </si>
  <si>
    <t>Autre (à préciser)</t>
  </si>
  <si>
    <t xml:space="preserve">Type de projet : </t>
  </si>
  <si>
    <t>Echange</t>
  </si>
  <si>
    <t>Compensation</t>
  </si>
  <si>
    <t xml:space="preserve">Nom du notaire : </t>
  </si>
  <si>
    <t>Adresse du projet</t>
  </si>
  <si>
    <t xml:space="preserve">Localité : </t>
  </si>
  <si>
    <t>Appartement (résidence)</t>
  </si>
  <si>
    <t xml:space="preserve">Nom du projet (si applicable) : </t>
  </si>
  <si>
    <t>Informations générales</t>
  </si>
  <si>
    <t xml:space="preserve">Prix de vente terrain : </t>
  </si>
  <si>
    <t xml:space="preserve">Type de transaction </t>
  </si>
  <si>
    <t>Cash/espèces</t>
  </si>
  <si>
    <t>Virement</t>
  </si>
  <si>
    <t>Chèque</t>
  </si>
  <si>
    <t>Bitcoin</t>
  </si>
  <si>
    <t xml:space="preserve">Données cadastrales : </t>
  </si>
  <si>
    <t xml:space="preserve">Société venderesse terrain : </t>
  </si>
  <si>
    <t xml:space="preserve">Société venderesse construction : </t>
  </si>
  <si>
    <t>Justifications :</t>
  </si>
  <si>
    <t>Autre (agence externe)</t>
  </si>
  <si>
    <t>Référence dossier:</t>
  </si>
  <si>
    <t>Origine de l'acquisition</t>
  </si>
  <si>
    <t>Patrimoine familial</t>
  </si>
  <si>
    <t>Opération d'achat/revente</t>
  </si>
  <si>
    <t xml:space="preserve">Moyen de financement : </t>
  </si>
  <si>
    <t xml:space="preserve">Usage futur du bien : </t>
  </si>
  <si>
    <t>Usage futur du bien</t>
  </si>
  <si>
    <t>Usage personnel (privé, commercial, bureau)</t>
  </si>
  <si>
    <t>Placement/location</t>
  </si>
  <si>
    <t>Spéculation/revente</t>
  </si>
  <si>
    <t xml:space="preserve">Usage antérieur du bien : </t>
  </si>
  <si>
    <t xml:space="preserve">Société de construction : </t>
  </si>
  <si>
    <t>Type de relation :</t>
  </si>
  <si>
    <t>Dernière mise à jour :</t>
  </si>
  <si>
    <t>Kara Wong</t>
  </si>
  <si>
    <t xml:space="preserve">Dénomination de la société : </t>
  </si>
  <si>
    <t>Adresse du siège social :</t>
  </si>
  <si>
    <t>Date d'immatriculation :</t>
  </si>
  <si>
    <t xml:space="preserve">Activité de la société : </t>
  </si>
  <si>
    <r>
      <t xml:space="preserve">FORMULAIRE D'ENTREE EN RELATION - </t>
    </r>
    <r>
      <rPr>
        <b/>
        <sz val="12"/>
        <color rgb="FFFF0000"/>
        <rFont val="Calibri"/>
        <family val="2"/>
        <scheme val="minor"/>
      </rPr>
      <t>PERSONNE PHYSIQUE - MANDATAIRE</t>
    </r>
  </si>
  <si>
    <r>
      <t xml:space="preserve">FORMULAIRE D'ENTREE EN RELATION - </t>
    </r>
    <r>
      <rPr>
        <b/>
        <sz val="12"/>
        <color rgb="FFFF0000"/>
        <rFont val="Calibri"/>
        <family val="2"/>
        <scheme val="minor"/>
      </rPr>
      <t>PERSONNE PHYSIQUE</t>
    </r>
    <r>
      <rPr>
        <b/>
        <sz val="12"/>
        <color theme="1"/>
        <rFont val="Calibri"/>
        <family val="2"/>
        <scheme val="minor"/>
      </rPr>
      <t xml:space="preserve"> </t>
    </r>
    <r>
      <rPr>
        <b/>
        <sz val="12"/>
        <color rgb="FFFF0000"/>
        <rFont val="Calibri"/>
        <family val="2"/>
        <scheme val="minor"/>
      </rPr>
      <t>- CLIENT</t>
    </r>
  </si>
  <si>
    <t>4. POUVOIR DE REPRESENTATION</t>
  </si>
  <si>
    <t>Documentation reçue ?</t>
  </si>
  <si>
    <t>Description du pouvoir de représentation :</t>
  </si>
  <si>
    <t>(procuration ou lettre de mission)</t>
  </si>
  <si>
    <r>
      <t xml:space="preserve">FORMULAIRE D'ENTREE EN RELATION - </t>
    </r>
    <r>
      <rPr>
        <b/>
        <sz val="12"/>
        <color rgb="FFFF0000"/>
        <rFont val="Calibri"/>
        <family val="2"/>
        <scheme val="minor"/>
      </rPr>
      <t>PERSONNE MORALE - CLIENT</t>
    </r>
  </si>
  <si>
    <r>
      <t xml:space="preserve">Adresse du siège d'exploitation </t>
    </r>
    <r>
      <rPr>
        <i/>
        <u/>
        <sz val="11"/>
        <color theme="1"/>
        <rFont val="Calibri"/>
        <family val="2"/>
        <scheme val="minor"/>
      </rPr>
      <t>(seulement en cas d'adresse différente du siège social)</t>
    </r>
    <r>
      <rPr>
        <u/>
        <sz val="11"/>
        <color theme="1"/>
        <rFont val="Calibri"/>
        <family val="2"/>
        <scheme val="minor"/>
      </rPr>
      <t xml:space="preserve"> :</t>
    </r>
  </si>
  <si>
    <t>N° RCS (ou N° de société étrangère) :</t>
  </si>
  <si>
    <t>3. GESTION DE LA PERSONNE MORALE</t>
  </si>
  <si>
    <t>Nom+prénom/dénomination+forme juridique</t>
  </si>
  <si>
    <t>Face-à-face</t>
  </si>
  <si>
    <t>Gérant</t>
  </si>
  <si>
    <t>Administrateur</t>
  </si>
  <si>
    <t xml:space="preserve">Membre du comité de direction </t>
  </si>
  <si>
    <t>Désignation/pouvoirs de représentation</t>
  </si>
  <si>
    <t>BE 1</t>
  </si>
  <si>
    <t>% droit de vote/actions</t>
  </si>
  <si>
    <t>BE 2 (si applicable)</t>
  </si>
  <si>
    <t>BE 3 (si applicable)</t>
  </si>
  <si>
    <r>
      <t xml:space="preserve">FORMULAIRE D'ENTREE EN RELATION - </t>
    </r>
    <r>
      <rPr>
        <b/>
        <sz val="12"/>
        <color rgb="FFFF0000"/>
        <rFont val="Calibri"/>
        <family val="2"/>
        <scheme val="minor"/>
      </rPr>
      <t>PERSONNE MORALE - MANDATAIRE</t>
    </r>
  </si>
  <si>
    <t>2. DONNEES MANDATAIRE PERSONNE MORALE</t>
  </si>
  <si>
    <t>2. DONNEES MANDATAIRE PERSONNE PHYSIQUE</t>
  </si>
  <si>
    <t>3. GESTION DU MANDATAIRE PERSONNE MORALE</t>
  </si>
  <si>
    <t>2. DONNEES CLIENT PERSONNE PHYSIQUE</t>
  </si>
  <si>
    <t>3. VERIFICATION DES DONNEES CLIENT PERSONNE PHYSIQUE</t>
  </si>
  <si>
    <t>2. DONNEES CLIENT PERSONNE MORALE</t>
  </si>
  <si>
    <t>Désignation/pouvoir de représentation</t>
  </si>
  <si>
    <t>4. IDENTIFICATION DES BENEFICIAIRES EFFECTIFS (BE)</t>
  </si>
  <si>
    <t>5. VERIFICATION DES DONNEES DES BENEFICIAIRES EFFECTIFS (BE)</t>
  </si>
  <si>
    <t>Revenus issus des activités professionnelles actuelles ou passées</t>
  </si>
  <si>
    <t>DANS LE CAS D'UN ACHAT</t>
  </si>
  <si>
    <t>DANS LE CAS D'UNE VENTE</t>
  </si>
  <si>
    <t>Transaction et prix</t>
  </si>
  <si>
    <t>Intervenants</t>
  </si>
  <si>
    <t>Nom+prénom OU dénomination+forme juridique</t>
  </si>
  <si>
    <t>3. VERIFICATION DES DONNEES MANDATAIRE PERSONNE PHYSIQUE</t>
  </si>
  <si>
    <t>Prix de vente construction (incl. frais d'architecte):</t>
  </si>
  <si>
    <t xml:space="preserve">Prix total (TVAC) : </t>
  </si>
  <si>
    <t>Apporteur d'affaires intermédiaire :</t>
  </si>
  <si>
    <t>Côté acheteur :</t>
  </si>
  <si>
    <t>Prix d'achat (TVAC) :</t>
  </si>
  <si>
    <t>Côté vendeur :</t>
  </si>
  <si>
    <t>Marié(e) sous régime de la séparation des biens</t>
  </si>
  <si>
    <t>Nom, prénom</t>
  </si>
  <si>
    <t xml:space="preserve">Nom, prénom : </t>
  </si>
  <si>
    <t>- Le client vend une propriété à un prix inférieur à la valeur marchande et verse un paiement additionnel « au noir » ;</t>
  </si>
  <si>
    <t>- Le client achète une propriété sans l'inspecter ;</t>
  </si>
  <si>
    <t>- C'est un fait bien connu que le client a payé comptant d'importantes rénovations résidentielles sur une propriété où les services de gestion d'immeubles sont fournis ;</t>
  </si>
  <si>
    <t>- Le client rachète une propriété qu'il a vendue récemment ;</t>
  </si>
  <si>
    <t>- La propriété change souvent de propriétaires, surtout si ces propriétaires se connaissent ou sont liés entre eux ;</t>
  </si>
  <si>
    <t>- Le client se présente pour la clôture d'une transaction immobilière avec une grande quantité d'espèces ;</t>
  </si>
  <si>
    <t>- Le client achète une propriété au nom d'une autre personne, p. ex : un associé ou un membre de sa famille (autre que son conjoint) ;</t>
  </si>
  <si>
    <t>- Le client ne veut pas signer son nom sur un document qui établirait un lien entre lui et la propriété, ou utilise des noms différents sur l'offre d'achat, les documents de clôture et les récépissés de dépôt ;</t>
  </si>
  <si>
    <t>- Le client négocie un achat à la valeur marchande ou à une valeur supérieure au prix demandé, mais demande à ce qu'une valeur plus faible soit inscrite dans les documents en payant la différence « au noir » ;</t>
  </si>
  <si>
    <t>- Le client verse l'acompte au moyen d'un chèque signé par un tiers, autre que son conjoint ou un parent ;</t>
  </si>
  <si>
    <t>- Le client verse un acompte important en espèces et le solde est financé grâce à une source de fonds inhabituelle (p. ex : par un tiers ou un prêteur privé) ou par une banque étrangère ;</t>
  </si>
  <si>
    <t>- Le client achète des biens pour son usage personnel par le truchement de sa compagnie quand ce genre de transaction est contraire aux pratiques d'affaires courantes du client ;</t>
  </si>
  <si>
    <t>- Le client achète de multiples propriétés dans un court laps de temps et semble peu s'inquiéter de l'emplacement, de l'état, des frais de réparation anticipés, etc de la propriété ;</t>
  </si>
  <si>
    <t>- Le client insiste pour ne fournir que des versions télécopiées de sa signature ;</t>
  </si>
  <si>
    <t>- Le client veut bâtir une maison de luxe sur un emplacement qui n'est pas privilégié ;</t>
  </si>
  <si>
    <t>- Le client manifeste trop d'inquiétude quant au respect par l'entreprise des obligations gouvernementales concernant la transmission de déclarations et quant aux politiques en matière de lutte contre le blanchiment d'argent ou le financement du terrorisme ;</t>
  </si>
  <si>
    <t>- Le client manifeste peu d'inquiétude quant aux risques, aux commissions ou aux coûts reliés aux opérations ;</t>
  </si>
  <si>
    <t>- Les opérations sont effectuées au nom de mineurs, de personnes handicapées ou de toute autre personne qui, bien que ne faisant pas partie de ces catégories, ne semble pas être en mesure financièrement d'effectuer de tels achats ;</t>
  </si>
  <si>
    <t>- L'opération concerne des entités juridiques alors qu'il ne semble pas y avoir de lien entre l'opération et les activités de l'entreprise ou que l'entreprise n'effectue pas d'activités ;</t>
  </si>
  <si>
    <t>- Les parties concernées désirent effectuer l'opération rapidement, sans raison apparente ;</t>
  </si>
  <si>
    <t>- Les personnes concernées sont des étrangers ou non-résidents, à des fins fiscales, qui effectuent l'opération uniquement afin d'investir des capitaux (c'est-à-dire qu'elles ne comptent pas occuper la propriété qu'elles achètent) ;</t>
  </si>
  <si>
    <t>- Les opérations concernent des paiements en espèces, ou avec des instruments monétaires qui ne précisent pas le nom de l'acheteur véritable (par ex : des traites bancaires), dont le montant total est jugé important comparativement au montant de l'opération ;</t>
  </si>
  <si>
    <t>- Les parties concernées dans l'opération demandent que le paiement soit divisé en plusieurs paiements plus petits versés à des intervalles plus courts ;</t>
  </si>
  <si>
    <t>- Le paiement est effectué en espèces, avec des billets de banque, des chèques au porteur ou tout autre instrument monétaire anonyme ;</t>
  </si>
  <si>
    <t>- L'opération est entièrement anonyme - l'opération est effectuée par un avocat - tous les chèques de dépôt sont tirés du compte en fiducie de l'avocat ;</t>
  </si>
  <si>
    <t>- Une propriété est vendue de nouveau peu après son achat et pour un prix très différent du prix d'achat, sans que le marché justifie cette différence pour des propriétés se trouvant dans ce quartier.</t>
  </si>
  <si>
    <t>Next màj: Kara Wong - Màj PM-Mandataire BE?</t>
  </si>
  <si>
    <t>DANS LE CAS D'UNE LOCATION</t>
  </si>
  <si>
    <t>Transaction</t>
  </si>
  <si>
    <t>Loyer</t>
  </si>
  <si>
    <t xml:space="preserve">Bailleur : </t>
  </si>
  <si>
    <r>
      <t xml:space="preserve">FORMULAIRE D'ENTREE EN RELATION - </t>
    </r>
    <r>
      <rPr>
        <b/>
        <sz val="12"/>
        <color rgb="FFFF0000"/>
        <rFont val="Calibri"/>
        <family val="2"/>
        <scheme val="minor"/>
      </rPr>
      <t>PERSONNE PHYSIQUE</t>
    </r>
    <r>
      <rPr>
        <b/>
        <sz val="12"/>
        <color theme="1"/>
        <rFont val="Calibri"/>
        <family val="2"/>
        <scheme val="minor"/>
      </rPr>
      <t xml:space="preserve"> </t>
    </r>
    <r>
      <rPr>
        <b/>
        <sz val="12"/>
        <color rgb="FFFF0000"/>
        <rFont val="Calibri"/>
        <family val="2"/>
        <scheme val="minor"/>
      </rPr>
      <t>- CLIENT LOCATION</t>
    </r>
  </si>
  <si>
    <t>Appartement (Résidence)</t>
  </si>
  <si>
    <t>autre (à préciser)</t>
  </si>
  <si>
    <t>Face à 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</si>
</sst>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5" x14ac:knownFonts="1">
    <font>
      <sz val="11"/>
      <color theme="1"/>
      <name val="Calibri"/>
      <family val="2"/>
      <scheme val="minor"/>
    </font>
    <font>
      <u/>
      <sz val="11"/>
      <color theme="10"/>
      <name val="Calibri"/>
      <family val="2"/>
      <scheme val="minor"/>
    </font>
    <font>
      <sz val="11"/>
      <color rgb="FF000000"/>
      <name val="Times New Roman"/>
      <family val="1"/>
    </font>
    <font>
      <b/>
      <sz val="11"/>
      <color theme="1"/>
      <name val="Calibri"/>
      <family val="2"/>
      <scheme val="minor"/>
    </font>
    <font>
      <b/>
      <sz val="9"/>
      <color indexed="81"/>
      <name val="Tahoma"/>
      <family val="2"/>
    </font>
    <font>
      <sz val="9"/>
      <color indexed="81"/>
      <name val="Tahoma"/>
      <family val="2"/>
    </font>
    <font>
      <sz val="11"/>
      <name val="Calibri"/>
      <family val="2"/>
      <scheme val="minor"/>
    </font>
    <font>
      <b/>
      <sz val="12"/>
      <name val="Calibri"/>
      <family val="2"/>
      <scheme val="minor"/>
    </font>
    <font>
      <b/>
      <sz val="12"/>
      <color rgb="FF0000FF"/>
      <name val="Calibri"/>
      <family val="2"/>
      <scheme val="minor"/>
    </font>
    <font>
      <i/>
      <sz val="11"/>
      <color rgb="FF0000FF"/>
      <name val="Calibri"/>
      <family val="2"/>
      <scheme val="minor"/>
    </font>
    <font>
      <i/>
      <u/>
      <sz val="11"/>
      <color theme="10"/>
      <name val="Calibri"/>
      <family val="2"/>
      <scheme val="minor"/>
    </font>
    <font>
      <sz val="11"/>
      <color theme="1"/>
      <name val="Calibri"/>
      <family val="2"/>
      <scheme val="minor"/>
    </font>
    <font>
      <i/>
      <sz val="11"/>
      <color theme="1"/>
      <name val="Calibri"/>
      <family val="2"/>
      <scheme val="minor"/>
    </font>
    <font>
      <sz val="11"/>
      <color theme="2" tint="-0.249977111117893"/>
      <name val="Calibri"/>
      <family val="2"/>
      <scheme val="minor"/>
    </font>
    <font>
      <b/>
      <sz val="12"/>
      <color theme="1"/>
      <name val="Calibri"/>
      <family val="2"/>
      <scheme val="minor"/>
    </font>
    <font>
      <b/>
      <sz val="11"/>
      <color theme="2" tint="-0.249977111117893"/>
      <name val="Calibri"/>
      <family val="2"/>
      <scheme val="minor"/>
    </font>
    <font>
      <b/>
      <sz val="11"/>
      <color rgb="FFFF0000"/>
      <name val="Calibri"/>
      <family val="2"/>
      <scheme val="minor"/>
    </font>
    <font>
      <b/>
      <sz val="12"/>
      <color rgb="FFFF0000"/>
      <name val="Calibri"/>
      <family val="2"/>
      <scheme val="minor"/>
    </font>
    <font>
      <u/>
      <sz val="11"/>
      <color theme="1"/>
      <name val="Calibri"/>
      <family val="2"/>
      <scheme val="minor"/>
    </font>
    <font>
      <b/>
      <u/>
      <sz val="11"/>
      <color theme="1"/>
      <name val="Calibri"/>
      <family val="2"/>
      <scheme val="minor"/>
    </font>
    <font>
      <i/>
      <u/>
      <sz val="11"/>
      <color theme="1"/>
      <name val="Calibri"/>
      <family val="2"/>
      <scheme val="minor"/>
    </font>
    <font>
      <b/>
      <u/>
      <sz val="11"/>
      <color theme="2" tint="-0.249977111117893"/>
      <name val="Calibri"/>
      <family val="2"/>
      <scheme val="minor"/>
    </font>
    <font>
      <sz val="11"/>
      <color rgb="FFFF0000"/>
      <name val="Calibri"/>
      <family val="2"/>
      <scheme val="minor"/>
    </font>
    <font>
      <b/>
      <u/>
      <sz val="9"/>
      <color indexed="81"/>
      <name val="Tahoma"/>
      <family val="2"/>
    </font>
    <font>
      <sz val="11"/>
      <color theme="0" tint="-0.249977111117893"/>
      <name val="Calibri"/>
      <family val="2"/>
      <scheme val="minor"/>
    </font>
  </fonts>
  <fills count="5">
    <fill>
      <patternFill patternType="none"/>
    </fill>
    <fill>
      <patternFill patternType="gray125"/>
    </fill>
    <fill>
      <patternFill patternType="solid">
        <fgColor rgb="FFFFFFCC"/>
        <bgColor indexed="64"/>
      </patternFill>
    </fill>
    <fill>
      <patternFill patternType="solid">
        <fgColor theme="0" tint="-0.249977111117893"/>
        <bgColor indexed="64"/>
      </patternFill>
    </fill>
    <fill>
      <patternFill patternType="solid">
        <fgColor theme="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uble">
        <color indexed="64"/>
      </bottom>
      <diagonal/>
    </border>
  </borders>
  <cellStyleXfs count="4">
    <xf numFmtId="0" fontId="0" fillId="0" borderId="0"/>
    <xf numFmtId="0" fontId="1" fillId="0" borderId="0" applyNumberFormat="0" applyFill="0" applyBorder="0" applyAlignment="0" applyProtection="0"/>
    <xf numFmtId="43" fontId="11" fillId="0" borderId="0" applyFont="0" applyFill="0" applyBorder="0" applyAlignment="0" applyProtection="0"/>
    <xf numFmtId="9" fontId="11" fillId="0" borderId="0" applyFont="0" applyFill="0" applyBorder="0" applyAlignment="0" applyProtection="0"/>
  </cellStyleXfs>
  <cellXfs count="129">
    <xf numFmtId="0" fontId="0" fillId="0" borderId="0" xfId="0"/>
    <xf numFmtId="0" fontId="6" fillId="0" borderId="0" xfId="0" applyFont="1" applyAlignment="1">
      <alignment horizontal="left" vertical="center"/>
    </xf>
    <xf numFmtId="0" fontId="6" fillId="0" borderId="0" xfId="0" applyFont="1" applyAlignment="1">
      <alignment horizontal="left" vertical="center" wrapText="1"/>
    </xf>
    <xf numFmtId="0" fontId="6" fillId="0" borderId="0" xfId="0" applyFont="1"/>
    <xf numFmtId="0" fontId="6" fillId="0" borderId="0" xfId="0" applyFont="1" applyAlignment="1">
      <alignment wrapText="1"/>
    </xf>
    <xf numFmtId="0" fontId="8" fillId="0" borderId="0" xfId="0" applyFont="1" applyAlignment="1">
      <alignment wrapText="1"/>
    </xf>
    <xf numFmtId="0" fontId="9" fillId="0" borderId="0" xfId="0" applyFont="1"/>
    <xf numFmtId="0" fontId="7" fillId="0" borderId="0" xfId="0" applyFont="1"/>
    <xf numFmtId="0" fontId="3" fillId="0" borderId="0" xfId="0" applyFont="1" applyAlignment="1">
      <alignment horizontal="left" vertical="center"/>
    </xf>
    <xf numFmtId="0" fontId="1" fillId="0" borderId="0" xfId="1"/>
    <xf numFmtId="0" fontId="0" fillId="0" borderId="1" xfId="0" applyBorder="1"/>
    <xf numFmtId="0" fontId="0" fillId="0" borderId="2" xfId="0" applyBorder="1"/>
    <xf numFmtId="0" fontId="0" fillId="3" borderId="0" xfId="0" applyFill="1"/>
    <xf numFmtId="0" fontId="0" fillId="0" borderId="7" xfId="0" applyBorder="1"/>
    <xf numFmtId="0" fontId="3" fillId="0" borderId="0" xfId="0" applyFont="1" applyAlignment="1">
      <alignment horizontal="center"/>
    </xf>
    <xf numFmtId="0" fontId="0" fillId="0" borderId="8" xfId="0" applyBorder="1"/>
    <xf numFmtId="0" fontId="0" fillId="0" borderId="5" xfId="0" applyBorder="1"/>
    <xf numFmtId="0" fontId="0" fillId="0" borderId="6" xfId="0" applyBorder="1"/>
    <xf numFmtId="0" fontId="0" fillId="0" borderId="4" xfId="0" applyBorder="1"/>
    <xf numFmtId="0" fontId="13" fillId="0" borderId="0" xfId="0" applyFont="1" applyAlignment="1">
      <alignment horizontal="right"/>
    </xf>
    <xf numFmtId="0" fontId="13" fillId="0" borderId="0" xfId="0" applyFont="1"/>
    <xf numFmtId="0" fontId="3" fillId="0" borderId="0" xfId="0" applyFont="1"/>
    <xf numFmtId="0" fontId="15" fillId="0" borderId="0" xfId="0" applyFont="1" applyAlignment="1">
      <alignment horizontal="right"/>
    </xf>
    <xf numFmtId="0" fontId="15" fillId="0" borderId="0" xfId="0" applyFont="1"/>
    <xf numFmtId="0" fontId="3" fillId="3" borderId="0" xfId="0" applyFont="1" applyFill="1"/>
    <xf numFmtId="0" fontId="14" fillId="0" borderId="0" xfId="0" applyFont="1"/>
    <xf numFmtId="0" fontId="0" fillId="0" borderId="2" xfId="0" applyBorder="1" applyAlignment="1">
      <alignment horizontal="left"/>
    </xf>
    <xf numFmtId="0" fontId="0" fillId="2" borderId="0" xfId="0" applyFill="1" applyAlignment="1">
      <alignment horizontal="left"/>
    </xf>
    <xf numFmtId="0" fontId="0" fillId="0" borderId="0" xfId="0" applyAlignment="1">
      <alignment horizontal="left"/>
    </xf>
    <xf numFmtId="0" fontId="0" fillId="2" borderId="2" xfId="0" applyFill="1" applyBorder="1" applyAlignment="1">
      <alignment horizontal="left"/>
    </xf>
    <xf numFmtId="14" fontId="0" fillId="2" borderId="0" xfId="0" applyNumberFormat="1" applyFill="1" applyAlignment="1">
      <alignment horizontal="left"/>
    </xf>
    <xf numFmtId="0" fontId="0" fillId="2" borderId="0" xfId="0" quotePrefix="1" applyFill="1" applyAlignment="1">
      <alignment horizontal="left"/>
    </xf>
    <xf numFmtId="0" fontId="0" fillId="0" borderId="5" xfId="0" applyBorder="1" applyAlignment="1">
      <alignment horizontal="left"/>
    </xf>
    <xf numFmtId="0" fontId="0" fillId="0" borderId="3" xfId="0" applyBorder="1" applyAlignment="1">
      <alignment horizontal="left"/>
    </xf>
    <xf numFmtId="0" fontId="0" fillId="0" borderId="8" xfId="0" applyBorder="1" applyAlignment="1">
      <alignment horizontal="left"/>
    </xf>
    <xf numFmtId="0" fontId="0" fillId="0" borderId="0" xfId="0" applyAlignment="1">
      <alignment vertical="center"/>
    </xf>
    <xf numFmtId="0" fontId="0" fillId="0" borderId="7" xfId="0" applyBorder="1" applyAlignment="1">
      <alignment vertical="center"/>
    </xf>
    <xf numFmtId="0" fontId="0" fillId="0" borderId="8" xfId="0" applyBorder="1" applyAlignment="1">
      <alignment horizontal="left" vertical="center"/>
    </xf>
    <xf numFmtId="0" fontId="13" fillId="0" borderId="0" xfId="0" applyFont="1" applyAlignment="1">
      <alignment vertical="center"/>
    </xf>
    <xf numFmtId="0" fontId="0" fillId="3" borderId="0" xfId="0" applyFill="1" applyAlignment="1">
      <alignment vertical="center"/>
    </xf>
    <xf numFmtId="0" fontId="0" fillId="0" borderId="6" xfId="0" applyBorder="1" applyAlignment="1">
      <alignment horizontal="left"/>
    </xf>
    <xf numFmtId="0" fontId="3" fillId="0" borderId="0" xfId="0" applyFont="1" applyAlignment="1">
      <alignment horizontal="left"/>
    </xf>
    <xf numFmtId="0" fontId="0" fillId="0" borderId="0" xfId="0" applyAlignment="1">
      <alignment horizontal="left" wrapText="1"/>
    </xf>
    <xf numFmtId="0" fontId="0" fillId="0" borderId="8" xfId="0" applyBorder="1" applyAlignment="1">
      <alignment horizontal="left" wrapText="1"/>
    </xf>
    <xf numFmtId="14" fontId="0" fillId="0" borderId="0" xfId="0" applyNumberFormat="1" applyAlignment="1">
      <alignment horizontal="left"/>
    </xf>
    <xf numFmtId="0" fontId="13" fillId="3" borderId="0" xfId="0" applyFont="1" applyFill="1" applyAlignment="1">
      <alignment horizontal="right"/>
    </xf>
    <xf numFmtId="0" fontId="13" fillId="3" borderId="0" xfId="0" applyFont="1" applyFill="1"/>
    <xf numFmtId="0" fontId="16" fillId="0" borderId="0" xfId="0" applyFont="1"/>
    <xf numFmtId="0" fontId="16" fillId="0" borderId="0" xfId="0" applyFont="1" applyAlignment="1">
      <alignment horizontal="right"/>
    </xf>
    <xf numFmtId="0" fontId="16" fillId="3" borderId="0" xfId="0" applyFont="1" applyFill="1"/>
    <xf numFmtId="0" fontId="16" fillId="0" borderId="0" xfId="0" applyFont="1" applyAlignment="1">
      <alignment horizontal="left"/>
    </xf>
    <xf numFmtId="0" fontId="14" fillId="0" borderId="0" xfId="0" applyFont="1" applyAlignment="1">
      <alignment horizontal="left"/>
    </xf>
    <xf numFmtId="0" fontId="17" fillId="0" borderId="0" xfId="0" applyFont="1" applyAlignment="1">
      <alignment horizontal="left"/>
    </xf>
    <xf numFmtId="0" fontId="3" fillId="0" borderId="0" xfId="0" applyFont="1" applyAlignment="1">
      <alignment horizontal="centerContinuous"/>
    </xf>
    <xf numFmtId="0" fontId="0" fillId="0" borderId="10" xfId="0" applyBorder="1"/>
    <xf numFmtId="0" fontId="0" fillId="0" borderId="11" xfId="0" applyBorder="1"/>
    <xf numFmtId="0" fontId="19" fillId="0" borderId="9" xfId="0" applyFont="1" applyBorder="1"/>
    <xf numFmtId="0" fontId="0" fillId="0" borderId="7" xfId="0" applyBorder="1" applyAlignment="1">
      <alignment horizontal="left"/>
    </xf>
    <xf numFmtId="0" fontId="18" fillId="0" borderId="7" xfId="0" applyFont="1" applyBorder="1"/>
    <xf numFmtId="0" fontId="0" fillId="0" borderId="3" xfId="0" applyBorder="1"/>
    <xf numFmtId="0" fontId="3" fillId="0" borderId="2" xfId="0" applyFont="1" applyBorder="1" applyAlignment="1">
      <alignment horizontal="left"/>
    </xf>
    <xf numFmtId="0" fontId="19" fillId="0" borderId="1" xfId="0" applyFont="1" applyBorder="1"/>
    <xf numFmtId="0" fontId="19" fillId="0" borderId="2" xfId="0" applyFont="1" applyBorder="1" applyAlignment="1">
      <alignment horizontal="left"/>
    </xf>
    <xf numFmtId="0" fontId="19" fillId="0" borderId="2" xfId="0" applyFont="1" applyBorder="1"/>
    <xf numFmtId="0" fontId="18" fillId="0" borderId="0" xfId="0" applyFont="1"/>
    <xf numFmtId="0" fontId="0" fillId="0" borderId="5" xfId="0" quotePrefix="1" applyBorder="1" applyAlignment="1">
      <alignment horizontal="left"/>
    </xf>
    <xf numFmtId="0" fontId="19" fillId="0" borderId="7" xfId="0" applyFont="1" applyBorder="1"/>
    <xf numFmtId="0" fontId="19" fillId="0" borderId="0" xfId="0" applyFont="1" applyAlignment="1">
      <alignment horizontal="left"/>
    </xf>
    <xf numFmtId="0" fontId="18" fillId="0" borderId="7" xfId="0" applyFont="1" applyBorder="1" applyAlignment="1">
      <alignment horizontal="left"/>
    </xf>
    <xf numFmtId="0" fontId="0" fillId="0" borderId="3" xfId="0" applyBorder="1" applyAlignment="1">
      <alignment horizontal="left" wrapText="1"/>
    </xf>
    <xf numFmtId="0" fontId="12" fillId="0" borderId="0" xfId="0" applyFont="1"/>
    <xf numFmtId="0" fontId="0" fillId="0" borderId="0" xfId="0" applyAlignment="1">
      <alignment wrapText="1"/>
    </xf>
    <xf numFmtId="0" fontId="19" fillId="0" borderId="1" xfId="0" applyFont="1" applyBorder="1" applyAlignment="1">
      <alignment horizontal="left"/>
    </xf>
    <xf numFmtId="0" fontId="19" fillId="0" borderId="7" xfId="0" applyFont="1" applyBorder="1" applyAlignment="1">
      <alignment horizontal="left"/>
    </xf>
    <xf numFmtId="43" fontId="0" fillId="2" borderId="0" xfId="2" applyFont="1" applyFill="1" applyBorder="1" applyAlignment="1">
      <alignment horizontal="left"/>
    </xf>
    <xf numFmtId="43" fontId="0" fillId="0" borderId="0" xfId="2" applyFont="1" applyFill="1" applyBorder="1" applyAlignment="1">
      <alignment horizontal="left"/>
    </xf>
    <xf numFmtId="43" fontId="11" fillId="2" borderId="12" xfId="2" applyFont="1" applyFill="1" applyBorder="1" applyAlignment="1">
      <alignment horizontal="left"/>
    </xf>
    <xf numFmtId="14" fontId="0" fillId="0" borderId="0" xfId="0" applyNumberFormat="1"/>
    <xf numFmtId="0" fontId="14" fillId="0" borderId="0" xfId="0" applyFont="1" applyAlignment="1">
      <alignment horizontal="centerContinuous"/>
    </xf>
    <xf numFmtId="14" fontId="0" fillId="0" borderId="5" xfId="0" applyNumberFormat="1" applyBorder="1" applyAlignment="1">
      <alignment horizontal="left"/>
    </xf>
    <xf numFmtId="9" fontId="0" fillId="0" borderId="5" xfId="0" applyNumberFormat="1" applyBorder="1" applyAlignment="1">
      <alignment horizontal="center"/>
    </xf>
    <xf numFmtId="0" fontId="10" fillId="0" borderId="0" xfId="1" applyFont="1"/>
    <xf numFmtId="0" fontId="0" fillId="0" borderId="0" xfId="0" quotePrefix="1" applyAlignment="1">
      <alignment horizontal="left"/>
    </xf>
    <xf numFmtId="0" fontId="18" fillId="0" borderId="1" xfId="0" applyFont="1" applyBorder="1"/>
    <xf numFmtId="0" fontId="0" fillId="0" borderId="6" xfId="0" applyBorder="1" applyAlignment="1">
      <alignment horizontal="left" wrapText="1"/>
    </xf>
    <xf numFmtId="0" fontId="12" fillId="0" borderId="2" xfId="0" quotePrefix="1" applyFont="1" applyBorder="1" applyAlignment="1">
      <alignment horizontal="left"/>
    </xf>
    <xf numFmtId="0" fontId="18" fillId="0" borderId="2" xfId="0" applyFont="1" applyBorder="1"/>
    <xf numFmtId="0" fontId="0" fillId="2" borderId="0" xfId="0" applyFill="1"/>
    <xf numFmtId="0" fontId="0" fillId="2" borderId="5" xfId="0" applyFill="1" applyBorder="1"/>
    <xf numFmtId="0" fontId="3" fillId="2" borderId="7" xfId="0" applyFont="1" applyFill="1" applyBorder="1"/>
    <xf numFmtId="0" fontId="3" fillId="2" borderId="4" xfId="0" applyFont="1" applyFill="1" applyBorder="1"/>
    <xf numFmtId="0" fontId="3" fillId="0" borderId="7" xfId="0" applyFont="1" applyBorder="1" applyAlignment="1">
      <alignment horizontal="center"/>
    </xf>
    <xf numFmtId="0" fontId="15" fillId="0" borderId="0" xfId="0" applyFont="1" applyAlignment="1">
      <alignment horizontal="center"/>
    </xf>
    <xf numFmtId="0" fontId="3" fillId="3" borderId="0" xfId="0" applyFont="1" applyFill="1" applyAlignment="1">
      <alignment horizontal="center"/>
    </xf>
    <xf numFmtId="9" fontId="0" fillId="2" borderId="0" xfId="3" quotePrefix="1" applyFont="1" applyFill="1" applyBorder="1" applyAlignment="1">
      <alignment horizontal="left"/>
    </xf>
    <xf numFmtId="9" fontId="19" fillId="0" borderId="2" xfId="0" applyNumberFormat="1" applyFont="1" applyBorder="1" applyAlignment="1">
      <alignment horizontal="left"/>
    </xf>
    <xf numFmtId="0" fontId="21" fillId="0" borderId="0" xfId="0" applyFont="1" applyAlignment="1">
      <alignment horizontal="left"/>
    </xf>
    <xf numFmtId="0" fontId="19" fillId="3" borderId="0" xfId="0" applyFont="1" applyFill="1" applyAlignment="1">
      <alignment horizontal="left"/>
    </xf>
    <xf numFmtId="0" fontId="19" fillId="0" borderId="0" xfId="0" applyFont="1"/>
    <xf numFmtId="0" fontId="22" fillId="0" borderId="0" xfId="0" applyFont="1"/>
    <xf numFmtId="0" fontId="22" fillId="0" borderId="8" xfId="0" applyFont="1" applyBorder="1" applyAlignment="1">
      <alignment horizontal="left"/>
    </xf>
    <xf numFmtId="0" fontId="22" fillId="0" borderId="0" xfId="0" applyFont="1" applyAlignment="1">
      <alignment horizontal="right"/>
    </xf>
    <xf numFmtId="0" fontId="22" fillId="3" borderId="0" xfId="0" applyFont="1" applyFill="1"/>
    <xf numFmtId="0" fontId="16" fillId="0" borderId="7" xfId="0" applyFont="1" applyBorder="1" applyAlignment="1">
      <alignment horizontal="left"/>
    </xf>
    <xf numFmtId="9" fontId="3" fillId="0" borderId="0" xfId="0" applyNumberFormat="1" applyFont="1" applyAlignment="1">
      <alignment horizontal="center"/>
    </xf>
    <xf numFmtId="0" fontId="0" fillId="2" borderId="2" xfId="0" quotePrefix="1" applyFill="1" applyBorder="1" applyAlignment="1">
      <alignment horizontal="left"/>
    </xf>
    <xf numFmtId="0" fontId="0" fillId="0" borderId="2" xfId="0" quotePrefix="1" applyBorder="1" applyAlignment="1">
      <alignment horizontal="left"/>
    </xf>
    <xf numFmtId="0" fontId="12" fillId="0" borderId="7" xfId="0" applyFont="1" applyBorder="1"/>
    <xf numFmtId="43" fontId="12" fillId="0" borderId="0" xfId="2" applyFont="1" applyFill="1" applyBorder="1" applyAlignment="1">
      <alignment horizontal="left"/>
    </xf>
    <xf numFmtId="0" fontId="20" fillId="0" borderId="7" xfId="0" applyFont="1" applyBorder="1" applyAlignment="1">
      <alignment horizontal="left"/>
    </xf>
    <xf numFmtId="0" fontId="22" fillId="0" borderId="0" xfId="0" applyFont="1" applyAlignment="1">
      <alignment horizontal="left"/>
    </xf>
    <xf numFmtId="0" fontId="0" fillId="2" borderId="0" xfId="0" applyFill="1" applyAlignment="1">
      <alignment horizontal="left" vertical="center" wrapText="1"/>
    </xf>
    <xf numFmtId="0" fontId="0" fillId="0" borderId="0" xfId="0" applyAlignment="1">
      <alignment horizontal="left" vertical="center"/>
    </xf>
    <xf numFmtId="0" fontId="16" fillId="0" borderId="0" xfId="0" applyFont="1" applyAlignment="1">
      <alignment horizontal="left" vertical="center"/>
    </xf>
    <xf numFmtId="0" fontId="0" fillId="4" borderId="0" xfId="0" applyFill="1"/>
    <xf numFmtId="0" fontId="0" fillId="4" borderId="0" xfId="0" applyFill="1" applyAlignment="1" applyProtection="1">
      <alignment horizontal="left"/>
      <protection locked="0"/>
    </xf>
    <xf numFmtId="0" fontId="0" fillId="0" borderId="0" xfId="0" applyAlignment="1" applyProtection="1">
      <alignment horizontal="left"/>
      <protection locked="0"/>
    </xf>
    <xf numFmtId="0" fontId="24" fillId="3" borderId="0" xfId="0" applyFont="1" applyFill="1"/>
    <xf numFmtId="0" fontId="24" fillId="3" borderId="0" xfId="0" applyFont="1" applyFill="1" applyAlignment="1">
      <alignment horizontal="left"/>
    </xf>
    <xf numFmtId="0" fontId="1" fillId="2" borderId="0" xfId="1" quotePrefix="1" applyFill="1" applyAlignment="1">
      <alignment horizontal="left"/>
    </xf>
    <xf numFmtId="0" fontId="0" fillId="0" borderId="1" xfId="0" applyBorder="1" applyAlignment="1">
      <alignment horizontal="left" vertical="top" wrapText="1"/>
    </xf>
    <xf numFmtId="0" fontId="0" fillId="0" borderId="7" xfId="0" applyBorder="1" applyAlignment="1">
      <alignment horizontal="left" vertical="top" wrapText="1"/>
    </xf>
    <xf numFmtId="0" fontId="14" fillId="2" borderId="2" xfId="0" applyFont="1" applyFill="1" applyBorder="1" applyAlignment="1">
      <alignment horizontal="center" vertical="center" wrapText="1"/>
    </xf>
    <xf numFmtId="0" fontId="14" fillId="2" borderId="0" xfId="0" applyFont="1" applyFill="1" applyAlignment="1">
      <alignment horizontal="center" vertical="center" wrapText="1"/>
    </xf>
    <xf numFmtId="0" fontId="0" fillId="0" borderId="7" xfId="0" applyBorder="1" applyAlignment="1">
      <alignment horizontal="left" wrapText="1"/>
    </xf>
    <xf numFmtId="0" fontId="0" fillId="0" borderId="4" xfId="0" applyBorder="1" applyAlignment="1">
      <alignment horizontal="left" wrapText="1"/>
    </xf>
    <xf numFmtId="0" fontId="0" fillId="2" borderId="0" xfId="0" applyFill="1" applyAlignment="1">
      <alignment horizontal="center" wrapText="1"/>
    </xf>
    <xf numFmtId="0" fontId="0" fillId="2" borderId="5" xfId="0" applyFill="1" applyBorder="1" applyAlignment="1">
      <alignment horizontal="center" wrapText="1"/>
    </xf>
    <xf numFmtId="0" fontId="0" fillId="0" borderId="4" xfId="0" applyBorder="1" applyAlignment="1">
      <alignment horizontal="left" vertical="top" wrapText="1"/>
    </xf>
  </cellXfs>
  <cellStyles count="4">
    <cellStyle name="Comma" xfId="2" builtinId="3"/>
    <cellStyle name="Hyperlink" xfId="1" builtinId="8"/>
    <cellStyle name="Normal" xfId="0" builtinId="0"/>
    <cellStyle name="Per cent" xfId="3" builtinId="5"/>
  </cellStyles>
  <dxfs count="100">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FFCC"/>
        </patternFill>
      </fill>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76</xdr:row>
          <xdr:rowOff>19050</xdr:rowOff>
        </xdr:from>
        <xdr:to>
          <xdr:col>2</xdr:col>
          <xdr:colOff>0</xdr:colOff>
          <xdr:row>78</xdr:row>
          <xdr:rowOff>9525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70</xdr:row>
          <xdr:rowOff>19050</xdr:rowOff>
        </xdr:from>
        <xdr:to>
          <xdr:col>2</xdr:col>
          <xdr:colOff>0</xdr:colOff>
          <xdr:row>72</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105</xdr:row>
          <xdr:rowOff>19050</xdr:rowOff>
        </xdr:from>
        <xdr:to>
          <xdr:col>2</xdr:col>
          <xdr:colOff>0</xdr:colOff>
          <xdr:row>107</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99</xdr:row>
          <xdr:rowOff>19050</xdr:rowOff>
        </xdr:from>
        <xdr:to>
          <xdr:col>2</xdr:col>
          <xdr:colOff>0</xdr:colOff>
          <xdr:row>101</xdr:row>
          <xdr:rowOff>9525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3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79</xdr:row>
          <xdr:rowOff>19050</xdr:rowOff>
        </xdr:from>
        <xdr:to>
          <xdr:col>2</xdr:col>
          <xdr:colOff>0</xdr:colOff>
          <xdr:row>81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73</xdr:row>
          <xdr:rowOff>19050</xdr:rowOff>
        </xdr:from>
        <xdr:to>
          <xdr:col>2</xdr:col>
          <xdr:colOff>0</xdr:colOff>
          <xdr:row>75</xdr:row>
          <xdr:rowOff>9525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5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76</xdr:row>
          <xdr:rowOff>19050</xdr:rowOff>
        </xdr:from>
        <xdr:to>
          <xdr:col>2</xdr:col>
          <xdr:colOff>0</xdr:colOff>
          <xdr:row>78</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70</xdr:row>
          <xdr:rowOff>19050</xdr:rowOff>
        </xdr:from>
        <xdr:to>
          <xdr:col>2</xdr:col>
          <xdr:colOff>0</xdr:colOff>
          <xdr:row>72</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8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LU" sz="1100" b="0" i="0" u="none" strike="noStrike" baseline="0">
                  <a:solidFill>
                    <a:srgbClr val="000000"/>
                  </a:solidFill>
                  <a:latin typeface="Times New Roman"/>
                  <a:cs typeface="Times New Roman"/>
                </a:rPr>
                <a:t>Impression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1" Type="http://schemas.openxmlformats.org/officeDocument/2006/relationships/hyperlink" Target="https://www.un.org/securitycouncil/content/un-sc-consolidated-list"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hyperlink" Target="http://www.douane.gouv.fr/articles/a10914-restrictions-commerciales-a-l-encontre-de-certains-pays" TargetMode="External"/><Relationship Id="rId1" Type="http://schemas.openxmlformats.org/officeDocument/2006/relationships/hyperlink" Target="https://ec.europa.eu/taxation_customs/tax-common-eu-list_en" TargetMode="External"/><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0391-DC5A-4491-A30B-D75872F0B7FA}">
  <sheetPr codeName="Sheet2">
    <tabColor rgb="FF0070C0"/>
  </sheetPr>
  <dimension ref="A1:J78"/>
  <sheetViews>
    <sheetView showGridLines="0" tabSelected="1" topLeftCell="A37" zoomScale="85" zoomScaleNormal="85" zoomScaleSheetLayoutView="100" workbookViewId="0">
      <selection activeCell="C50" sqref="C50"/>
    </sheetView>
  </sheetViews>
  <sheetFormatPr defaultColWidth="9.140625" defaultRowHeight="15" x14ac:dyDescent="0.25"/>
  <cols>
    <col min="1" max="1" width="3.5703125" style="12" customWidth="1"/>
    <col min="2" max="2" width="31.42578125" style="12" customWidth="1"/>
    <col min="3" max="3" width="36.28515625" style="12" customWidth="1"/>
    <col min="4" max="4" width="4.28515625" style="12" customWidth="1"/>
    <col min="5" max="5" width="33.28515625" style="12" customWidth="1"/>
    <col min="6" max="6" width="34.7109375" style="12" customWidth="1"/>
    <col min="7" max="7" width="17.85546875" style="12" bestFit="1" customWidth="1"/>
    <col min="8" max="8" width="6.140625" style="45" hidden="1" customWidth="1"/>
    <col min="9" max="9" width="11.140625" style="46" hidden="1" customWidth="1"/>
    <col min="10" max="10" width="11.140625" style="12" hidden="1" customWidth="1"/>
    <col min="11" max="11" width="11.140625" style="12" customWidth="1"/>
    <col min="12" max="16384" width="9.140625" style="12"/>
  </cols>
  <sheetData>
    <row r="1" spans="1:10" x14ac:dyDescent="0.25">
      <c r="A1"/>
      <c r="B1"/>
      <c r="C1"/>
      <c r="D1"/>
      <c r="E1"/>
      <c r="F1"/>
      <c r="G1"/>
      <c r="H1" s="19"/>
      <c r="I1" s="20"/>
      <c r="J1"/>
    </row>
    <row r="2" spans="1:10" s="24" customFormat="1" ht="15.75" x14ac:dyDescent="0.25">
      <c r="A2" s="21"/>
      <c r="B2" s="51" t="s">
        <v>173</v>
      </c>
      <c r="C2" s="41"/>
      <c r="D2" s="41"/>
      <c r="E2" s="41"/>
      <c r="F2" s="53"/>
      <c r="G2" s="56" t="s">
        <v>153</v>
      </c>
      <c r="H2" s="22"/>
      <c r="I2" s="23"/>
      <c r="J2" s="21"/>
    </row>
    <row r="3" spans="1:10" s="24" customFormat="1" ht="15.75" x14ac:dyDescent="0.25">
      <c r="A3" s="21"/>
      <c r="B3" s="25"/>
      <c r="C3" s="41"/>
      <c r="D3" s="41"/>
      <c r="E3"/>
      <c r="F3"/>
      <c r="G3" s="54"/>
      <c r="H3" s="22"/>
      <c r="I3" s="23"/>
      <c r="J3" s="21"/>
    </row>
    <row r="4" spans="1:10" s="49" customFormat="1" ht="15.75" x14ac:dyDescent="0.25">
      <c r="A4" s="47"/>
      <c r="B4" s="52"/>
      <c r="C4" s="50"/>
      <c r="D4" s="50"/>
      <c r="E4"/>
      <c r="F4"/>
      <c r="G4" s="55"/>
      <c r="H4" s="48"/>
      <c r="I4" s="47"/>
      <c r="J4" s="47"/>
    </row>
    <row r="5" spans="1:10" x14ac:dyDescent="0.25">
      <c r="A5"/>
      <c r="B5" s="21" t="s">
        <v>128</v>
      </c>
      <c r="C5"/>
      <c r="D5"/>
      <c r="E5"/>
      <c r="F5"/>
      <c r="G5"/>
      <c r="H5" s="19"/>
      <c r="I5" s="20"/>
      <c r="J5" s="114"/>
    </row>
    <row r="6" spans="1:10" x14ac:dyDescent="0.25">
      <c r="A6"/>
      <c r="B6" s="72" t="s">
        <v>141</v>
      </c>
      <c r="C6" s="26"/>
      <c r="D6" s="26"/>
      <c r="E6" s="26" t="str">
        <f>IF($C$7="Autres","Spécifier :","")</f>
        <v/>
      </c>
      <c r="F6" s="26"/>
      <c r="G6" s="33"/>
      <c r="H6" s="19" t="b">
        <f>IF(E6&lt;&gt;"","TRUE",FALSE)</f>
        <v>0</v>
      </c>
      <c r="I6" s="20"/>
      <c r="J6" s="114"/>
    </row>
    <row r="7" spans="1:10" x14ac:dyDescent="0.25">
      <c r="A7"/>
      <c r="B7" s="13" t="s">
        <v>98</v>
      </c>
      <c r="C7" s="27" t="s">
        <v>14</v>
      </c>
      <c r="D7" s="28"/>
      <c r="E7" s="28"/>
      <c r="F7" s="28"/>
      <c r="G7" s="34"/>
      <c r="H7" s="19"/>
      <c r="I7" s="20"/>
      <c r="J7" s="114"/>
    </row>
    <row r="8" spans="1:10" x14ac:dyDescent="0.25">
      <c r="A8"/>
      <c r="B8" s="13" t="s">
        <v>133</v>
      </c>
      <c r="C8" s="27"/>
      <c r="D8" s="28"/>
      <c r="E8" s="28" t="str">
        <f>IF($C$8="Autres","Spécifier :","")</f>
        <v/>
      </c>
      <c r="F8" s="28"/>
      <c r="G8" s="34"/>
      <c r="H8" s="19" t="b">
        <f>IF(E8&lt;&gt;"","TRUE",FALSE)</f>
        <v>0</v>
      </c>
      <c r="I8" s="20"/>
      <c r="J8" s="114"/>
    </row>
    <row r="9" spans="1:10" x14ac:dyDescent="0.25">
      <c r="A9"/>
      <c r="B9" s="13" t="s">
        <v>140</v>
      </c>
      <c r="C9" s="27"/>
      <c r="D9" s="28"/>
      <c r="E9" s="28"/>
      <c r="F9" s="28"/>
      <c r="G9" s="34"/>
      <c r="H9" s="19"/>
      <c r="I9" s="20"/>
      <c r="J9" s="114"/>
    </row>
    <row r="10" spans="1:10" x14ac:dyDescent="0.25">
      <c r="A10"/>
      <c r="B10" s="13" t="s">
        <v>89</v>
      </c>
      <c r="C10" s="27"/>
      <c r="D10" s="28"/>
      <c r="E10" s="28"/>
      <c r="F10" s="28"/>
      <c r="G10" s="34"/>
      <c r="H10" s="19"/>
      <c r="I10" s="20"/>
      <c r="J10" s="114"/>
    </row>
    <row r="11" spans="1:10" x14ac:dyDescent="0.25">
      <c r="A11"/>
      <c r="B11" s="13"/>
      <c r="C11" s="28"/>
      <c r="D11" s="28"/>
      <c r="E11" s="28"/>
      <c r="F11" s="28"/>
      <c r="G11" s="34"/>
      <c r="H11" s="19"/>
      <c r="I11" s="20"/>
      <c r="J11" s="114"/>
    </row>
    <row r="12" spans="1:10" x14ac:dyDescent="0.25">
      <c r="A12"/>
      <c r="B12" s="66" t="s">
        <v>137</v>
      </c>
      <c r="C12" s="28"/>
      <c r="D12" s="28"/>
      <c r="E12" s="28"/>
      <c r="F12" s="28"/>
      <c r="G12" s="34"/>
      <c r="H12" s="19"/>
      <c r="I12" s="20"/>
      <c r="J12" s="114"/>
    </row>
    <row r="13" spans="1:10" x14ac:dyDescent="0.25">
      <c r="A13"/>
      <c r="B13" s="57" t="s">
        <v>94</v>
      </c>
      <c r="C13" s="27"/>
      <c r="D13" s="28"/>
      <c r="E13" s="28"/>
      <c r="F13" s="28"/>
      <c r="G13" s="34"/>
      <c r="H13" s="19"/>
      <c r="I13" s="20"/>
      <c r="J13" s="114"/>
    </row>
    <row r="14" spans="1:10" x14ac:dyDescent="0.25">
      <c r="A14"/>
      <c r="B14" s="57" t="s">
        <v>95</v>
      </c>
      <c r="C14" s="27"/>
      <c r="D14" s="28"/>
      <c r="E14" s="28"/>
      <c r="F14" s="28"/>
      <c r="G14" s="34"/>
      <c r="H14" s="19"/>
      <c r="I14" s="20"/>
      <c r="J14" s="114"/>
    </row>
    <row r="15" spans="1:10" x14ac:dyDescent="0.25">
      <c r="A15"/>
      <c r="B15" s="57" t="s">
        <v>138</v>
      </c>
      <c r="C15" s="27"/>
      <c r="D15" s="28"/>
      <c r="E15" s="28"/>
      <c r="F15" s="28"/>
      <c r="G15" s="34"/>
      <c r="H15" s="19"/>
      <c r="I15" s="20"/>
      <c r="J15" s="114"/>
    </row>
    <row r="16" spans="1:10" x14ac:dyDescent="0.25">
      <c r="A16"/>
      <c r="B16" s="57" t="s">
        <v>6</v>
      </c>
      <c r="C16" s="27"/>
      <c r="D16" s="28"/>
      <c r="E16" s="28"/>
      <c r="F16" s="28"/>
      <c r="G16" s="34"/>
      <c r="H16" s="19"/>
      <c r="I16" s="20"/>
      <c r="J16" s="114"/>
    </row>
    <row r="17" spans="1:10" x14ac:dyDescent="0.25">
      <c r="A17"/>
      <c r="B17" s="57" t="s">
        <v>148</v>
      </c>
      <c r="C17" s="27"/>
      <c r="D17" s="28"/>
      <c r="E17" s="28"/>
      <c r="F17" s="28"/>
      <c r="G17" s="34"/>
      <c r="H17" s="19"/>
      <c r="I17" s="20"/>
      <c r="J17" s="114"/>
    </row>
    <row r="18" spans="1:10" x14ac:dyDescent="0.25">
      <c r="A18"/>
      <c r="B18" s="57"/>
      <c r="C18" s="28"/>
      <c r="D18" s="28"/>
      <c r="E18" s="28"/>
      <c r="F18" s="28"/>
      <c r="G18" s="34"/>
      <c r="H18" s="19"/>
      <c r="I18" s="20"/>
      <c r="J18" s="114"/>
    </row>
    <row r="19" spans="1:10" s="102" customFormat="1" x14ac:dyDescent="0.25">
      <c r="A19" s="99"/>
      <c r="B19" s="103" t="s">
        <v>204</v>
      </c>
      <c r="C19" s="110"/>
      <c r="D19" s="110"/>
      <c r="E19" s="103" t="s">
        <v>203</v>
      </c>
      <c r="F19" s="110"/>
      <c r="G19" s="100"/>
      <c r="H19" s="101"/>
      <c r="I19" s="99"/>
      <c r="J19" s="114"/>
    </row>
    <row r="20" spans="1:10" x14ac:dyDescent="0.25">
      <c r="A20"/>
      <c r="B20" s="73" t="s">
        <v>205</v>
      </c>
      <c r="C20" s="28"/>
      <c r="D20" s="28"/>
      <c r="E20" s="73" t="s">
        <v>205</v>
      </c>
      <c r="F20" s="28"/>
      <c r="G20" s="34"/>
      <c r="H20" s="19"/>
      <c r="I20" s="20"/>
      <c r="J20" s="114"/>
    </row>
    <row r="21" spans="1:10" x14ac:dyDescent="0.25">
      <c r="A21"/>
      <c r="B21" s="13" t="s">
        <v>209</v>
      </c>
      <c r="C21" s="74"/>
      <c r="D21" s="28"/>
      <c r="E21" s="57" t="s">
        <v>213</v>
      </c>
      <c r="F21" s="74"/>
      <c r="G21" s="34"/>
      <c r="H21" s="19"/>
      <c r="I21" s="20"/>
      <c r="J21"/>
    </row>
    <row r="22" spans="1:10" ht="15.75" thickBot="1" x14ac:dyDescent="0.3">
      <c r="A22"/>
      <c r="B22" s="13" t="s">
        <v>142</v>
      </c>
      <c r="C22" s="76"/>
      <c r="D22" s="28"/>
      <c r="E22" s="57"/>
      <c r="F22" s="28"/>
      <c r="G22" s="34"/>
      <c r="H22" s="19"/>
      <c r="I22" s="20"/>
      <c r="J22"/>
    </row>
    <row r="23" spans="1:10" ht="15.75" thickTop="1" x14ac:dyDescent="0.25">
      <c r="A23"/>
      <c r="B23" s="107" t="s">
        <v>210</v>
      </c>
      <c r="C23" s="108">
        <f>C21+C22</f>
        <v>0</v>
      </c>
      <c r="D23" s="28"/>
      <c r="E23" s="109" t="s">
        <v>212</v>
      </c>
      <c r="F23" s="28"/>
      <c r="G23" s="34"/>
      <c r="H23" s="19"/>
      <c r="I23" s="20"/>
      <c r="J23"/>
    </row>
    <row r="24" spans="1:10" x14ac:dyDescent="0.25">
      <c r="A24"/>
      <c r="B24" s="13"/>
      <c r="C24" s="75"/>
      <c r="D24" s="28"/>
      <c r="E24" s="36" t="s">
        <v>18</v>
      </c>
      <c r="F24" s="111"/>
      <c r="G24" s="34"/>
      <c r="H24" s="19"/>
      <c r="I24" s="20"/>
      <c r="J24"/>
    </row>
    <row r="25" spans="1:10" s="39" customFormat="1" ht="30" x14ac:dyDescent="0.25">
      <c r="A25" s="35"/>
      <c r="B25" s="36" t="s">
        <v>18</v>
      </c>
      <c r="C25" s="111" t="s">
        <v>202</v>
      </c>
      <c r="D25" s="112"/>
      <c r="E25" s="36" t="s">
        <v>157</v>
      </c>
      <c r="F25" s="111"/>
      <c r="G25" s="34"/>
      <c r="H25" s="19" t="str">
        <f>IF(E30&lt;&gt;"","TRUE",FALSE)</f>
        <v>TRUE</v>
      </c>
      <c r="I25" s="38"/>
      <c r="J25" s="35"/>
    </row>
    <row r="26" spans="1:10" s="39" customFormat="1" x14ac:dyDescent="0.25">
      <c r="A26" s="35"/>
      <c r="B26" s="36" t="s">
        <v>157</v>
      </c>
      <c r="C26" s="111"/>
      <c r="D26" s="112"/>
      <c r="E26" s="57"/>
      <c r="F26" s="28"/>
      <c r="G26" s="34"/>
      <c r="H26" s="19"/>
      <c r="I26" s="38"/>
      <c r="J26" s="35"/>
    </row>
    <row r="27" spans="1:10" s="39" customFormat="1" ht="30" x14ac:dyDescent="0.25">
      <c r="A27" s="35"/>
      <c r="B27" s="36" t="s">
        <v>158</v>
      </c>
      <c r="C27" s="111" t="s">
        <v>160</v>
      </c>
      <c r="D27" s="112"/>
      <c r="E27" s="109" t="s">
        <v>214</v>
      </c>
      <c r="F27" s="28"/>
      <c r="G27" s="34"/>
      <c r="H27" s="19"/>
      <c r="I27" s="38"/>
      <c r="J27" s="35"/>
    </row>
    <row r="28" spans="1:10" s="39" customFormat="1" x14ac:dyDescent="0.25">
      <c r="A28" s="35"/>
      <c r="B28" s="36"/>
      <c r="C28" s="112"/>
      <c r="D28" s="112"/>
      <c r="E28" s="36" t="s">
        <v>163</v>
      </c>
      <c r="F28" s="111"/>
      <c r="G28" s="34"/>
      <c r="H28" s="19"/>
      <c r="I28" s="38"/>
      <c r="J28" s="35"/>
    </row>
    <row r="29" spans="1:10" s="39" customFormat="1" x14ac:dyDescent="0.25">
      <c r="A29" s="35"/>
      <c r="B29" s="66" t="s">
        <v>206</v>
      </c>
      <c r="C29" s="28"/>
      <c r="D29" s="28"/>
      <c r="E29" s="57"/>
      <c r="F29" s="28"/>
      <c r="G29" s="37"/>
      <c r="H29" s="19"/>
      <c r="I29" s="38"/>
      <c r="J29" s="35"/>
    </row>
    <row r="30" spans="1:10" s="39" customFormat="1" x14ac:dyDescent="0.25">
      <c r="A30" s="35"/>
      <c r="B30" s="13" t="s">
        <v>149</v>
      </c>
      <c r="C30" s="27"/>
      <c r="D30" s="28"/>
      <c r="E30" s="73" t="s">
        <v>206</v>
      </c>
      <c r="F30" s="28"/>
      <c r="G30" s="37"/>
      <c r="H30" s="19"/>
      <c r="I30" s="38"/>
      <c r="J30" s="35"/>
    </row>
    <row r="31" spans="1:10" s="39" customFormat="1" x14ac:dyDescent="0.25">
      <c r="A31" s="35"/>
      <c r="B31" s="13" t="s">
        <v>150</v>
      </c>
      <c r="C31" s="27"/>
      <c r="D31" s="28"/>
      <c r="E31" s="57" t="s">
        <v>130</v>
      </c>
      <c r="F31" s="27"/>
      <c r="G31" s="37"/>
      <c r="H31" s="19"/>
      <c r="I31" s="38"/>
      <c r="J31" s="35"/>
    </row>
    <row r="32" spans="1:10" s="39" customFormat="1" x14ac:dyDescent="0.25">
      <c r="A32" s="35"/>
      <c r="B32" s="13" t="s">
        <v>164</v>
      </c>
      <c r="C32" s="28" t="s">
        <v>103</v>
      </c>
      <c r="D32" s="28"/>
      <c r="E32" s="57" t="s">
        <v>136</v>
      </c>
      <c r="F32" s="27"/>
      <c r="G32" s="37"/>
      <c r="H32" s="19"/>
      <c r="I32" s="38"/>
      <c r="J32" s="35"/>
    </row>
    <row r="33" spans="1:10" s="39" customFormat="1" x14ac:dyDescent="0.25">
      <c r="A33" s="35"/>
      <c r="B33" s="13" t="s">
        <v>136</v>
      </c>
      <c r="C33" s="27"/>
      <c r="D33" s="28"/>
      <c r="E33" s="13" t="s">
        <v>211</v>
      </c>
      <c r="F33" s="27"/>
      <c r="G33" s="34"/>
      <c r="H33" s="19"/>
      <c r="I33" s="38"/>
      <c r="J33" s="35"/>
    </row>
    <row r="34" spans="1:10" s="39" customFormat="1" x14ac:dyDescent="0.25">
      <c r="A34" s="35"/>
      <c r="B34" s="13" t="s">
        <v>211</v>
      </c>
      <c r="C34" s="27"/>
      <c r="D34" s="34"/>
      <c r="E34" s="57"/>
      <c r="F34" s="28"/>
      <c r="G34" s="37"/>
      <c r="H34" s="19"/>
      <c r="I34" s="38"/>
      <c r="J34" s="35"/>
    </row>
    <row r="35" spans="1:10" x14ac:dyDescent="0.25">
      <c r="A35"/>
      <c r="B35" s="18"/>
      <c r="C35" s="32"/>
      <c r="D35" s="32"/>
      <c r="E35" s="32"/>
      <c r="F35" s="32"/>
      <c r="G35" s="40"/>
      <c r="H35" s="19"/>
      <c r="I35" s="20"/>
      <c r="J35"/>
    </row>
    <row r="36" spans="1:10" s="49" customFormat="1" ht="15.75" x14ac:dyDescent="0.25">
      <c r="A36" s="47"/>
      <c r="B36" s="52"/>
      <c r="C36" s="50"/>
      <c r="D36" s="50"/>
      <c r="E36"/>
      <c r="F36"/>
      <c r="G36"/>
      <c r="H36" s="48"/>
      <c r="I36" s="47"/>
      <c r="J36" s="47"/>
    </row>
    <row r="37" spans="1:10" x14ac:dyDescent="0.25">
      <c r="A37"/>
      <c r="B37" s="21" t="s">
        <v>196</v>
      </c>
      <c r="C37" s="28"/>
      <c r="D37"/>
      <c r="E37"/>
      <c r="F37"/>
      <c r="G37"/>
      <c r="H37" s="19"/>
      <c r="I37" s="20"/>
      <c r="J37"/>
    </row>
    <row r="38" spans="1:10" x14ac:dyDescent="0.25">
      <c r="A38"/>
      <c r="B38" s="61"/>
      <c r="C38" s="62" t="s">
        <v>97</v>
      </c>
      <c r="D38" s="63"/>
      <c r="E38" s="63"/>
      <c r="F38" s="63" t="s">
        <v>108</v>
      </c>
      <c r="G38" s="59"/>
      <c r="H38" s="19"/>
      <c r="I38" s="20"/>
      <c r="J38"/>
    </row>
    <row r="39" spans="1:10" x14ac:dyDescent="0.25">
      <c r="A39"/>
      <c r="B39" s="13" t="s">
        <v>2</v>
      </c>
      <c r="C39" s="27"/>
      <c r="D39"/>
      <c r="E39" t="s">
        <v>2</v>
      </c>
      <c r="F39" s="27"/>
      <c r="G39" s="15"/>
      <c r="H39" s="19"/>
      <c r="I39" s="20"/>
      <c r="J39"/>
    </row>
    <row r="40" spans="1:10" x14ac:dyDescent="0.25">
      <c r="A40"/>
      <c r="B40" s="13" t="s">
        <v>3</v>
      </c>
      <c r="C40" s="27"/>
      <c r="D40"/>
      <c r="E40" t="s">
        <v>3</v>
      </c>
      <c r="F40" s="28"/>
      <c r="G40" s="15"/>
      <c r="H40" s="19" t="str">
        <f t="shared" ref="H40:H43" si="0">IF(E40&lt;&gt;"","TRUE",FALSE)</f>
        <v>TRUE</v>
      </c>
      <c r="I40" s="20"/>
      <c r="J40"/>
    </row>
    <row r="41" spans="1:10" x14ac:dyDescent="0.25">
      <c r="A41"/>
      <c r="B41" s="13" t="s">
        <v>4</v>
      </c>
      <c r="C41" s="30"/>
      <c r="D41"/>
      <c r="E41" t="s">
        <v>4</v>
      </c>
      <c r="F41" s="44"/>
      <c r="G41" s="15"/>
      <c r="H41" s="19" t="str">
        <f t="shared" si="0"/>
        <v>TRUE</v>
      </c>
      <c r="I41" s="20"/>
      <c r="J41"/>
    </row>
    <row r="42" spans="1:10" x14ac:dyDescent="0.25">
      <c r="A42"/>
      <c r="B42" s="13" t="s">
        <v>5</v>
      </c>
      <c r="C42" s="27"/>
      <c r="D42"/>
      <c r="E42" t="s">
        <v>5</v>
      </c>
      <c r="F42" s="28"/>
      <c r="G42" s="15"/>
      <c r="H42" s="19" t="str">
        <f>IF(E42&lt;&gt;"","TRUE",FALSE)</f>
        <v>TRUE</v>
      </c>
      <c r="I42" s="20"/>
      <c r="J42"/>
    </row>
    <row r="43" spans="1:10" x14ac:dyDescent="0.25">
      <c r="A43"/>
      <c r="B43" s="13" t="s">
        <v>7</v>
      </c>
      <c r="C43" s="27"/>
      <c r="D43"/>
      <c r="E43" t="s">
        <v>7</v>
      </c>
      <c r="F43" s="28"/>
      <c r="G43" s="15"/>
      <c r="H43" s="19" t="str">
        <f t="shared" si="0"/>
        <v>TRUE</v>
      </c>
      <c r="I43" s="20"/>
      <c r="J43"/>
    </row>
    <row r="44" spans="1:10" x14ac:dyDescent="0.25">
      <c r="A44"/>
      <c r="B44" s="13" t="s">
        <v>104</v>
      </c>
      <c r="C44" s="31"/>
      <c r="D44"/>
      <c r="E44" t="s">
        <v>104</v>
      </c>
      <c r="F44" s="31"/>
      <c r="G44" s="15"/>
      <c r="H44" s="19"/>
      <c r="I44" s="20"/>
      <c r="J44"/>
    </row>
    <row r="45" spans="1:10" x14ac:dyDescent="0.25">
      <c r="A45"/>
      <c r="B45" s="13" t="s">
        <v>96</v>
      </c>
      <c r="C45" s="27"/>
      <c r="D45"/>
      <c r="E45" t="s">
        <v>96</v>
      </c>
      <c r="F45" s="27"/>
      <c r="G45" s="15"/>
      <c r="H45" s="19"/>
      <c r="I45" s="20"/>
      <c r="J45"/>
    </row>
    <row r="46" spans="1:10" x14ac:dyDescent="0.25">
      <c r="A46"/>
      <c r="B46" s="13" t="s">
        <v>105</v>
      </c>
      <c r="C46" s="27" t="s">
        <v>90</v>
      </c>
      <c r="D46"/>
      <c r="E46" t="s">
        <v>105</v>
      </c>
      <c r="F46" s="27" t="s">
        <v>90</v>
      </c>
      <c r="G46" s="15"/>
      <c r="H46" s="19"/>
      <c r="I46" s="20"/>
      <c r="J46"/>
    </row>
    <row r="47" spans="1:10" x14ac:dyDescent="0.25">
      <c r="A47"/>
      <c r="B47" s="13"/>
      <c r="C47" s="28"/>
      <c r="D47"/>
      <c r="E47"/>
      <c r="F47" s="28"/>
      <c r="G47" s="15"/>
      <c r="H47" s="19"/>
      <c r="I47" s="20"/>
      <c r="J47"/>
    </row>
    <row r="48" spans="1:10" x14ac:dyDescent="0.25">
      <c r="A48"/>
      <c r="B48" s="58" t="s">
        <v>8</v>
      </c>
      <c r="C48" s="28"/>
      <c r="D48"/>
      <c r="E48" s="64" t="s">
        <v>8</v>
      </c>
      <c r="F48" s="28"/>
      <c r="G48" s="15"/>
      <c r="H48" s="19" t="str">
        <f>IF(E48&lt;&gt;"","TRUE",FALSE)</f>
        <v>TRUE</v>
      </c>
      <c r="I48" s="20"/>
      <c r="J48"/>
    </row>
    <row r="49" spans="1:10" x14ac:dyDescent="0.25">
      <c r="A49"/>
      <c r="B49" s="57" t="s">
        <v>94</v>
      </c>
      <c r="C49" s="27"/>
      <c r="D49"/>
      <c r="E49" t="s">
        <v>94</v>
      </c>
      <c r="F49" s="27"/>
      <c r="G49" s="15"/>
      <c r="H49" s="19" t="str">
        <f t="shared" ref="H49:H52" si="1">IF(E49&lt;&gt;"","TRUE",FALSE)</f>
        <v>TRUE</v>
      </c>
      <c r="I49" s="20"/>
      <c r="J49"/>
    </row>
    <row r="50" spans="1:10" x14ac:dyDescent="0.25">
      <c r="A50"/>
      <c r="B50" s="57" t="s">
        <v>95</v>
      </c>
      <c r="C50" s="27"/>
      <c r="D50"/>
      <c r="E50" t="s">
        <v>95</v>
      </c>
      <c r="F50" s="27"/>
      <c r="G50" s="15"/>
      <c r="H50" s="19" t="str">
        <f t="shared" si="1"/>
        <v>TRUE</v>
      </c>
      <c r="I50" s="20"/>
      <c r="J50"/>
    </row>
    <row r="51" spans="1:10" x14ac:dyDescent="0.25">
      <c r="A51"/>
      <c r="B51" s="57" t="s">
        <v>138</v>
      </c>
      <c r="C51" s="27"/>
      <c r="D51"/>
      <c r="E51" t="s">
        <v>138</v>
      </c>
      <c r="F51" s="27"/>
      <c r="G51" s="15"/>
      <c r="H51" s="19"/>
      <c r="I51" s="20"/>
      <c r="J51"/>
    </row>
    <row r="52" spans="1:10" x14ac:dyDescent="0.25">
      <c r="A52"/>
      <c r="B52" s="57" t="s">
        <v>6</v>
      </c>
      <c r="C52" s="27"/>
      <c r="D52"/>
      <c r="E52" t="s">
        <v>6</v>
      </c>
      <c r="F52" s="27"/>
      <c r="G52" s="15"/>
      <c r="H52" s="19" t="str">
        <f t="shared" si="1"/>
        <v>TRUE</v>
      </c>
      <c r="I52" s="20" t="b">
        <f>ISERROR(VLOOKUP(C52,'Risque géographique'!$B:$B,1,FALSE))</f>
        <v>1</v>
      </c>
      <c r="J52"/>
    </row>
    <row r="53" spans="1:10" x14ac:dyDescent="0.25">
      <c r="A53"/>
      <c r="B53" s="57"/>
      <c r="C53" s="28"/>
      <c r="D53"/>
      <c r="E53"/>
      <c r="F53" s="28"/>
      <c r="G53" s="15"/>
      <c r="H53" s="19"/>
      <c r="I53" s="20">
        <f>IF(I52=FALSE,10,0)</f>
        <v>0</v>
      </c>
      <c r="J53"/>
    </row>
    <row r="54" spans="1:10" x14ac:dyDescent="0.25">
      <c r="A54"/>
      <c r="B54" s="68" t="s">
        <v>109</v>
      </c>
      <c r="C54" s="28"/>
      <c r="D54"/>
      <c r="E54" s="64" t="s">
        <v>109</v>
      </c>
      <c r="F54" s="28"/>
      <c r="G54" s="15"/>
      <c r="H54" s="19"/>
      <c r="I54" s="20"/>
      <c r="J54"/>
    </row>
    <row r="55" spans="1:10" x14ac:dyDescent="0.25">
      <c r="A55"/>
      <c r="B55" s="13" t="s">
        <v>93</v>
      </c>
      <c r="C55" s="119"/>
      <c r="D55"/>
      <c r="E55" t="s">
        <v>93</v>
      </c>
      <c r="F55" s="31"/>
      <c r="G55" s="15"/>
      <c r="H55" s="19"/>
      <c r="I55" s="20" t="b">
        <f>ISERROR(VLOOKUP(F52,'Risque géographique'!$B:$B,1,FALSE))</f>
        <v>1</v>
      </c>
      <c r="J55"/>
    </row>
    <row r="56" spans="1:10" x14ac:dyDescent="0.25">
      <c r="A56"/>
      <c r="B56" s="13" t="s">
        <v>13</v>
      </c>
      <c r="C56" s="119"/>
      <c r="D56"/>
      <c r="E56" t="s">
        <v>13</v>
      </c>
      <c r="F56" s="119"/>
      <c r="G56" s="15"/>
      <c r="H56" s="19"/>
      <c r="I56" s="20"/>
      <c r="J56"/>
    </row>
    <row r="57" spans="1:10" x14ac:dyDescent="0.25">
      <c r="A57"/>
      <c r="B57" s="18"/>
      <c r="C57" s="65"/>
      <c r="D57" s="16"/>
      <c r="E57" s="16"/>
      <c r="F57" s="65"/>
      <c r="G57" s="17"/>
      <c r="H57" s="19"/>
      <c r="I57" s="20">
        <f>IF(I55=FALSE,10,0)</f>
        <v>0</v>
      </c>
      <c r="J57"/>
    </row>
    <row r="58" spans="1:10" x14ac:dyDescent="0.25">
      <c r="A58"/>
      <c r="B58"/>
      <c r="C58"/>
      <c r="D58"/>
      <c r="E58"/>
      <c r="F58"/>
      <c r="G58"/>
      <c r="H58" s="19"/>
      <c r="I58" s="20"/>
      <c r="J58"/>
    </row>
    <row r="59" spans="1:10" x14ac:dyDescent="0.25">
      <c r="A59"/>
      <c r="B59" s="21" t="s">
        <v>197</v>
      </c>
      <c r="C59"/>
      <c r="D59"/>
      <c r="E59"/>
      <c r="F59"/>
      <c r="G59"/>
      <c r="H59" s="19"/>
      <c r="I59" s="20"/>
      <c r="J59"/>
    </row>
    <row r="60" spans="1:10" x14ac:dyDescent="0.25">
      <c r="A60"/>
      <c r="B60" s="61"/>
      <c r="C60" s="63" t="s">
        <v>97</v>
      </c>
      <c r="D60" s="26"/>
      <c r="E60" s="62"/>
      <c r="F60" s="62" t="s">
        <v>108</v>
      </c>
      <c r="G60" s="69"/>
      <c r="H60" s="19"/>
      <c r="I60" s="20"/>
      <c r="J60"/>
    </row>
    <row r="61" spans="1:10" x14ac:dyDescent="0.25">
      <c r="A61"/>
      <c r="B61" s="13" t="s">
        <v>110</v>
      </c>
      <c r="C61" s="31" t="s">
        <v>112</v>
      </c>
      <c r="D61" s="28"/>
      <c r="E61" s="28" t="s">
        <v>165</v>
      </c>
      <c r="F61" s="12" t="s">
        <v>252</v>
      </c>
      <c r="G61" s="43"/>
      <c r="H61" s="19"/>
      <c r="I61" s="20"/>
      <c r="J61"/>
    </row>
    <row r="62" spans="1:10" x14ac:dyDescent="0.25">
      <c r="A62"/>
      <c r="B62" s="13" t="s">
        <v>114</v>
      </c>
      <c r="C62" s="31" t="s">
        <v>117</v>
      </c>
      <c r="D62" s="28"/>
      <c r="E62" s="28" t="s">
        <v>114</v>
      </c>
      <c r="F62" s="12" t="s">
        <v>116</v>
      </c>
      <c r="G62" s="43"/>
      <c r="H62" s="19"/>
      <c r="I62" s="20"/>
      <c r="J62"/>
    </row>
    <row r="63" spans="1:10" x14ac:dyDescent="0.25">
      <c r="A63"/>
      <c r="B63" s="13" t="s">
        <v>118</v>
      </c>
      <c r="C63" s="30"/>
      <c r="D63" s="28"/>
      <c r="E63" s="28" t="s">
        <v>118</v>
      </c>
      <c r="F63" s="30"/>
      <c r="G63" s="43"/>
      <c r="H63" s="19"/>
      <c r="I63" s="20"/>
      <c r="J63"/>
    </row>
    <row r="64" spans="1:10" x14ac:dyDescent="0.25">
      <c r="A64"/>
      <c r="B64" s="13" t="s">
        <v>119</v>
      </c>
      <c r="C64" s="30"/>
      <c r="D64" s="28"/>
      <c r="E64" s="28" t="s">
        <v>119</v>
      </c>
      <c r="F64" s="30"/>
      <c r="G64" s="43"/>
      <c r="H64" s="19"/>
      <c r="I64" s="20"/>
      <c r="J64"/>
    </row>
    <row r="65" spans="1:10" x14ac:dyDescent="0.25">
      <c r="A65"/>
      <c r="B65" s="13" t="s">
        <v>120</v>
      </c>
      <c r="C65" s="27"/>
      <c r="D65" s="28"/>
      <c r="E65" s="42" t="s">
        <v>120</v>
      </c>
      <c r="F65" s="27" t="s">
        <v>16</v>
      </c>
      <c r="G65" s="43"/>
      <c r="H65" s="19"/>
      <c r="I65" s="20"/>
      <c r="J65"/>
    </row>
    <row r="66" spans="1:10" x14ac:dyDescent="0.25">
      <c r="A66"/>
      <c r="B66" s="18"/>
      <c r="C66" s="16"/>
      <c r="D66" s="32"/>
      <c r="E66" s="32"/>
      <c r="F66" s="32"/>
      <c r="G66" s="40"/>
      <c r="H66" s="19"/>
      <c r="I66" s="20"/>
      <c r="J66"/>
    </row>
    <row r="67" spans="1:10" x14ac:dyDescent="0.25">
      <c r="A67"/>
      <c r="B67"/>
      <c r="C67"/>
      <c r="D67"/>
      <c r="E67"/>
      <c r="F67"/>
      <c r="G67"/>
      <c r="H67" s="19"/>
      <c r="I67" s="20"/>
      <c r="J67"/>
    </row>
    <row r="68" spans="1:10" x14ac:dyDescent="0.25">
      <c r="A68"/>
      <c r="B68" s="21" t="s">
        <v>107</v>
      </c>
      <c r="C68"/>
      <c r="D68"/>
      <c r="E68"/>
      <c r="F68"/>
      <c r="G68"/>
      <c r="H68" s="19"/>
      <c r="I68" s="20"/>
      <c r="J68"/>
    </row>
    <row r="69" spans="1:10" ht="18.75" customHeight="1" x14ac:dyDescent="0.25">
      <c r="A69"/>
      <c r="B69" s="120" t="s">
        <v>121</v>
      </c>
      <c r="C69" s="122" t="s">
        <v>26</v>
      </c>
      <c r="D69" s="11"/>
      <c r="E69" s="11" t="s">
        <v>151</v>
      </c>
      <c r="F69" s="29"/>
      <c r="G69" s="33"/>
      <c r="H69" s="19"/>
      <c r="I69" s="38">
        <f>SUM(I37:I67)</f>
        <v>0</v>
      </c>
      <c r="J69"/>
    </row>
    <row r="70" spans="1:10" x14ac:dyDescent="0.25">
      <c r="A70"/>
      <c r="B70" s="121"/>
      <c r="C70" s="123"/>
      <c r="D70"/>
      <c r="E70" s="70"/>
      <c r="F70" s="27"/>
      <c r="G70" s="34"/>
      <c r="H70" s="19"/>
      <c r="I70" s="9"/>
      <c r="J70"/>
    </row>
    <row r="71" spans="1:10" x14ac:dyDescent="0.25">
      <c r="A71"/>
      <c r="B71" s="18"/>
      <c r="C71" s="16"/>
      <c r="D71" s="16"/>
      <c r="E71" s="16"/>
      <c r="F71" s="16"/>
      <c r="G71" s="17"/>
      <c r="H71" s="19"/>
      <c r="I71" s="20"/>
      <c r="J71"/>
    </row>
    <row r="72" spans="1:10" x14ac:dyDescent="0.25">
      <c r="A72"/>
      <c r="B72"/>
      <c r="C72"/>
      <c r="D72"/>
      <c r="E72"/>
      <c r="F72"/>
      <c r="G72"/>
      <c r="H72" s="19"/>
      <c r="I72" s="20"/>
      <c r="J72"/>
    </row>
    <row r="73" spans="1:10" x14ac:dyDescent="0.25">
      <c r="A73"/>
      <c r="B73" t="s">
        <v>106</v>
      </c>
      <c r="C73" s="30">
        <v>45555</v>
      </c>
      <c r="D73"/>
      <c r="E73" t="s">
        <v>124</v>
      </c>
      <c r="F73"/>
      <c r="G73"/>
      <c r="H73" s="19"/>
      <c r="I73" s="20"/>
      <c r="J73"/>
    </row>
    <row r="74" spans="1:10" x14ac:dyDescent="0.25">
      <c r="A74"/>
      <c r="B74" t="s">
        <v>123</v>
      </c>
      <c r="C74" s="27"/>
      <c r="D74"/>
      <c r="E74"/>
      <c r="F74" s="9"/>
      <c r="G74"/>
      <c r="H74" s="19"/>
      <c r="I74" s="20"/>
      <c r="J74"/>
    </row>
    <row r="75" spans="1:10" ht="30" x14ac:dyDescent="0.25">
      <c r="A75"/>
      <c r="B75" s="71" t="s">
        <v>122</v>
      </c>
      <c r="C75" s="27"/>
      <c r="D75"/>
      <c r="E75"/>
      <c r="F75"/>
      <c r="G75"/>
      <c r="H75" s="19"/>
      <c r="I75" s="20"/>
      <c r="J75"/>
    </row>
    <row r="76" spans="1:10" x14ac:dyDescent="0.25">
      <c r="A76"/>
      <c r="B76"/>
      <c r="C76"/>
      <c r="D76"/>
      <c r="E76"/>
      <c r="F76"/>
      <c r="G76"/>
      <c r="H76" s="19"/>
      <c r="I76" s="20"/>
      <c r="J76"/>
    </row>
    <row r="77" spans="1:10" x14ac:dyDescent="0.25">
      <c r="A77"/>
      <c r="B77"/>
      <c r="C77"/>
      <c r="D77"/>
      <c r="E77"/>
      <c r="F77"/>
      <c r="G77"/>
      <c r="H77" s="19"/>
      <c r="I77" s="20"/>
      <c r="J77"/>
    </row>
    <row r="78" spans="1:10" x14ac:dyDescent="0.25">
      <c r="A78"/>
      <c r="B78"/>
      <c r="C78"/>
      <c r="D78"/>
      <c r="E78"/>
      <c r="F78"/>
      <c r="G78"/>
      <c r="H78" s="19"/>
      <c r="I78" s="20"/>
      <c r="J78"/>
    </row>
  </sheetData>
  <protectedRanges>
    <protectedRange sqref="F39:F45 C55:C57 C38:C45 F55:F57 C61:C65 F63:F65 C69 B76:B79 C73:C75 F69:G70 C13:C17 F6:F8 F10:F12 C21:C27 C7:C10 C30:C34 F21 F24:F29 F31:F34 C49:C52 F49:F52" name="PP"/>
  </protectedRanges>
  <dataConsolidate/>
  <mergeCells count="2">
    <mergeCell ref="B69:B70"/>
    <mergeCell ref="C69:C70"/>
  </mergeCells>
  <conditionalFormatting sqref="F40:F43 F10:F12 F6:F8 F47 F26:F27 F29">
    <cfRule type="expression" dxfId="99" priority="23">
      <formula>$H6="TRUE"</formula>
    </cfRule>
  </conditionalFormatting>
  <conditionalFormatting sqref="C69">
    <cfRule type="containsText" dxfId="98" priority="13" operator="containsText" text="Risque faible">
      <formula>NOT(ISERROR(SEARCH("Risque faible",C69)))</formula>
    </cfRule>
    <cfRule type="containsText" dxfId="97" priority="14" operator="containsText" text="Risque élevé">
      <formula>NOT(ISERROR(SEARCH("Risque élevé",C69)))</formula>
    </cfRule>
    <cfRule type="containsText" dxfId="96" priority="15" operator="containsText" text="Risque moyen">
      <formula>NOT(ISERROR(SEARCH("Risque moyen",C69)))</formula>
    </cfRule>
  </conditionalFormatting>
  <conditionalFormatting sqref="E65 G60:G65">
    <cfRule type="containsText" dxfId="95" priority="17" operator="containsText" text="Relation d'affaire en suspend">
      <formula>NOT(ISERROR(SEARCH("Relation d'affaire en suspend",E60)))</formula>
    </cfRule>
    <cfRule type="containsText" dxfId="94" priority="18" operator="containsText" text="Prière de dater et signer la copie du document d'identité obtenue">
      <formula>NOT(ISERROR(SEARCH("Prière de dater et signer la copie du document d'identité obtenue",E60)))</formula>
    </cfRule>
  </conditionalFormatting>
  <conditionalFormatting sqref="F25:F29">
    <cfRule type="expression" dxfId="93" priority="29">
      <formula>#REF!="TRUE"</formula>
    </cfRule>
  </conditionalFormatting>
  <conditionalFormatting sqref="F31:F33">
    <cfRule type="expression" dxfId="92" priority="51">
      <formula>$H26="TRUE"</formula>
    </cfRule>
  </conditionalFormatting>
  <conditionalFormatting sqref="F25 F28">
    <cfRule type="expression" dxfId="91" priority="53">
      <formula>$H26="TRUE"</formula>
    </cfRule>
  </conditionalFormatting>
  <conditionalFormatting sqref="F28">
    <cfRule type="expression" dxfId="90" priority="57">
      <formula>$H27="TRUE"</formula>
    </cfRule>
  </conditionalFormatting>
  <conditionalFormatting sqref="F34">
    <cfRule type="expression" dxfId="89" priority="1">
      <formula>$H34="TRUE"</formula>
    </cfRule>
  </conditionalFormatting>
  <conditionalFormatting sqref="F34">
    <cfRule type="expression" dxfId="88" priority="2">
      <formula>#REF!="TRUE"</formula>
    </cfRule>
  </conditionalFormatting>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Impression">
                <anchor moveWithCells="1" sizeWithCells="1">
                  <from>
                    <xdr:col>0</xdr:col>
                    <xdr:colOff>228600</xdr:colOff>
                    <xdr:row>76</xdr:row>
                    <xdr:rowOff>19050</xdr:rowOff>
                  </from>
                  <to>
                    <xdr:col>2</xdr:col>
                    <xdr:colOff>0</xdr:colOff>
                    <xdr:row>78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B066AF6-75C1-4A4D-A640-6981A1708E8D}">
          <x14:formula1>
            <xm:f>Options!$F$5:$F$6</xm:f>
          </x14:formula1>
          <xm:sqref>C65 F65</xm:sqref>
        </x14:dataValidation>
        <x14:dataValidation type="list" allowBlank="1" showInputMessage="1" showErrorMessage="1" xr:uid="{1FE91952-1215-405C-B875-46907F633329}">
          <x14:formula1>
            <xm:f>Options!$C$19:$C$21</xm:f>
          </x14:formula1>
          <xm:sqref>C69</xm:sqref>
        </x14:dataValidation>
        <x14:dataValidation type="list" allowBlank="1" showInputMessage="1" showErrorMessage="1" xr:uid="{C7E13A2F-AFD4-4A4C-B47D-23010AA22504}">
          <x14:formula1>
            <xm:f>Options!$B$24:$B$28</xm:f>
          </x14:formula1>
          <xm:sqref>C25 C29 F24</xm:sqref>
        </x14:dataValidation>
        <x14:dataValidation type="list" allowBlank="1" showInputMessage="1" showErrorMessage="1" xr:uid="{8F3C7824-A106-49DA-9D45-B4BC8B74B3D4}">
          <x14:formula1>
            <xm:f>Options!$E$32:$E$33</xm:f>
          </x14:formula1>
          <xm:sqref>C61</xm:sqref>
        </x14:dataValidation>
        <x14:dataValidation type="list" allowBlank="1" showInputMessage="1" showErrorMessage="1" xr:uid="{3B82A826-B764-4390-B91D-C8BBB40B0186}">
          <x14:formula1>
            <xm:f>Options!$E$36:$E$38</xm:f>
          </x14:formula1>
          <xm:sqref>C62</xm:sqref>
        </x14:dataValidation>
        <x14:dataValidation type="list" allowBlank="1" showInputMessage="1" showErrorMessage="1" xr:uid="{4F3C9046-1474-4759-8F15-00C91D7CC26B}">
          <x14:formula1>
            <xm:f>Options!$F$11:$F$16</xm:f>
          </x14:formula1>
          <xm:sqref>C8</xm:sqref>
        </x14:dataValidation>
        <x14:dataValidation type="list" showInputMessage="1" showErrorMessage="1" xr:uid="{2FD19E0B-4709-45F4-A4C9-1D7611E90CAF}">
          <x14:formula1>
            <xm:f>Options!$J$5:$J$12</xm:f>
          </x14:formula1>
          <xm:sqref>C7</xm:sqref>
        </x14:dataValidation>
        <x14:dataValidation type="list" allowBlank="1" showInputMessage="1" showErrorMessage="1" xr:uid="{E44E07C1-CBB9-476D-ACF2-9E8C51328303}">
          <x14:formula1>
            <xm:f>Options!$I$16:$I$20</xm:f>
          </x14:formula1>
          <xm:sqref>C26 F25</xm:sqref>
        </x14:dataValidation>
        <x14:dataValidation type="list" allowBlank="1" showInputMessage="1" showErrorMessage="1" xr:uid="{D4C2C4F7-C352-4D15-A9EA-B1772BFC6E2B}">
          <x14:formula1>
            <xm:f>Options!$M$5:$M$8</xm:f>
          </x14:formula1>
          <xm:sqref>C27 F28</xm:sqref>
        </x14:dataValidation>
        <x14:dataValidation type="list" showInputMessage="1" showErrorMessage="1" xr:uid="{FC894F69-1FF5-47E8-96DB-071928A8F82F}">
          <x14:formula1>
            <xm:f>Options!$C$5:$C$8</xm:f>
          </x14:formula1>
          <xm:sqref>C46 F46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97E89-6665-4AF5-9232-D6577F9C03C8}">
  <sheetPr codeName="Sheet7">
    <tabColor rgb="FF0070C0"/>
  </sheetPr>
  <dimension ref="A1:R72"/>
  <sheetViews>
    <sheetView showGridLines="0" topLeftCell="A39" zoomScale="85" zoomScaleNormal="85" zoomScaleSheetLayoutView="100" workbookViewId="0">
      <selection activeCell="E24" sqref="E24"/>
    </sheetView>
  </sheetViews>
  <sheetFormatPr defaultColWidth="9.140625" defaultRowHeight="15" x14ac:dyDescent="0.25"/>
  <cols>
    <col min="1" max="1" width="3.5703125" style="12" customWidth="1"/>
    <col min="2" max="2" width="31.42578125" style="12" customWidth="1"/>
    <col min="3" max="3" width="36.28515625" style="12" customWidth="1"/>
    <col min="4" max="4" width="4.28515625" style="12" customWidth="1"/>
    <col min="5" max="5" width="33.28515625" style="12" customWidth="1"/>
    <col min="6" max="6" width="34.7109375" style="12" customWidth="1"/>
    <col min="7" max="7" width="15.5703125" style="12" customWidth="1"/>
    <col min="8" max="8" width="15.5703125" style="45" hidden="1" customWidth="1"/>
    <col min="9" max="9" width="15.5703125" style="46" hidden="1" customWidth="1"/>
    <col min="10" max="10" width="22.5703125" style="12" hidden="1" customWidth="1"/>
    <col min="11" max="16" width="9.140625" style="12"/>
    <col min="17" max="20" width="0" style="12" hidden="1" customWidth="1"/>
    <col min="21" max="16384" width="9.140625" style="12"/>
  </cols>
  <sheetData>
    <row r="1" spans="1:18" x14ac:dyDescent="0.25">
      <c r="A1"/>
      <c r="B1"/>
      <c r="C1"/>
      <c r="D1"/>
      <c r="E1"/>
      <c r="F1"/>
      <c r="G1" s="19"/>
      <c r="H1" s="20"/>
      <c r="I1"/>
    </row>
    <row r="2" spans="1:18" s="24" customFormat="1" ht="15.75" x14ac:dyDescent="0.25">
      <c r="A2" s="21"/>
      <c r="B2" s="51" t="s">
        <v>249</v>
      </c>
      <c r="C2" s="41"/>
      <c r="D2" s="41"/>
      <c r="E2" s="41"/>
      <c r="F2" s="53"/>
      <c r="G2" s="22"/>
      <c r="H2" s="23"/>
      <c r="I2" s="21"/>
    </row>
    <row r="3" spans="1:18" s="24" customFormat="1" ht="15.75" x14ac:dyDescent="0.25">
      <c r="A3" s="21"/>
      <c r="B3" s="25"/>
      <c r="C3" s="41"/>
      <c r="D3" s="41"/>
      <c r="E3"/>
      <c r="F3"/>
      <c r="G3" s="22"/>
      <c r="H3" s="23"/>
      <c r="I3" s="21"/>
    </row>
    <row r="4" spans="1:18" s="49" customFormat="1" ht="15.75" x14ac:dyDescent="0.25">
      <c r="A4" s="47"/>
      <c r="B4" s="52"/>
      <c r="C4" s="50"/>
      <c r="D4" s="50"/>
      <c r="E4"/>
      <c r="F4"/>
      <c r="G4" s="48"/>
      <c r="H4" s="47"/>
      <c r="I4" s="47"/>
    </row>
    <row r="5" spans="1:18" x14ac:dyDescent="0.25">
      <c r="A5"/>
      <c r="B5" s="21" t="s">
        <v>128</v>
      </c>
      <c r="C5"/>
      <c r="D5"/>
      <c r="E5"/>
      <c r="F5"/>
      <c r="G5"/>
      <c r="H5" s="19"/>
      <c r="I5" s="20"/>
      <c r="J5"/>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s="49" customFormat="1" ht="15.75" x14ac:dyDescent="0.25">
      <c r="A30" s="47"/>
      <c r="B30" s="52"/>
      <c r="C30" s="50"/>
      <c r="D30" s="50"/>
      <c r="E30"/>
      <c r="F30"/>
      <c r="G30"/>
      <c r="H30" s="48"/>
      <c r="I30" s="47"/>
      <c r="J30" s="47"/>
    </row>
    <row r="31" spans="1:10" x14ac:dyDescent="0.25">
      <c r="A31"/>
      <c r="B31" s="21" t="s">
        <v>196</v>
      </c>
      <c r="C31" s="28"/>
      <c r="D31"/>
      <c r="E31"/>
      <c r="F31"/>
      <c r="G31"/>
      <c r="H31" s="19"/>
      <c r="I31" s="20"/>
      <c r="J31"/>
    </row>
    <row r="32" spans="1:10" x14ac:dyDescent="0.25">
      <c r="A32"/>
      <c r="B32" s="61"/>
      <c r="C32" s="62" t="s">
        <v>97</v>
      </c>
      <c r="D32" s="63"/>
      <c r="E32" s="63"/>
      <c r="F32" s="63" t="s">
        <v>108</v>
      </c>
      <c r="G32" s="59"/>
      <c r="H32" s="19"/>
      <c r="I32" s="20"/>
      <c r="J32"/>
    </row>
    <row r="33" spans="1:10" x14ac:dyDescent="0.25">
      <c r="A33"/>
      <c r="B33" s="13" t="s">
        <v>2</v>
      </c>
      <c r="C33" s="27"/>
      <c r="D33"/>
      <c r="E33" t="s">
        <v>2</v>
      </c>
      <c r="F33" s="27"/>
      <c r="G33" s="15"/>
      <c r="H33" s="19"/>
      <c r="I33" s="20"/>
      <c r="J33"/>
    </row>
    <row r="34" spans="1:10" x14ac:dyDescent="0.25">
      <c r="A34"/>
      <c r="B34" s="13" t="s">
        <v>3</v>
      </c>
      <c r="C34" s="27"/>
      <c r="D34"/>
      <c r="E34" t="s">
        <v>3</v>
      </c>
      <c r="F34" s="28"/>
      <c r="G34" s="15"/>
      <c r="H34" s="19" t="str">
        <f t="shared" ref="H34:H37" si="0">IF(E34&lt;&gt;"","TRUE",FALSE)</f>
        <v>TRUE</v>
      </c>
      <c r="I34" s="20"/>
      <c r="J34"/>
    </row>
    <row r="35" spans="1:10" x14ac:dyDescent="0.25">
      <c r="A35"/>
      <c r="B35" s="13" t="s">
        <v>4</v>
      </c>
      <c r="C35" s="30"/>
      <c r="D35"/>
      <c r="E35" t="s">
        <v>4</v>
      </c>
      <c r="F35" s="44"/>
      <c r="G35" s="15"/>
      <c r="H35" s="19" t="str">
        <f t="shared" si="0"/>
        <v>TRUE</v>
      </c>
      <c r="I35" s="20"/>
      <c r="J35"/>
    </row>
    <row r="36" spans="1:10" x14ac:dyDescent="0.25">
      <c r="A36"/>
      <c r="B36" s="13" t="s">
        <v>5</v>
      </c>
      <c r="C36" s="27"/>
      <c r="D36"/>
      <c r="E36" t="s">
        <v>5</v>
      </c>
      <c r="F36" s="28"/>
      <c r="G36" s="15"/>
      <c r="H36" s="19" t="str">
        <f>IF(E36&lt;&gt;"","TRUE",FALSE)</f>
        <v>TRUE</v>
      </c>
      <c r="I36" s="20"/>
      <c r="J36"/>
    </row>
    <row r="37" spans="1:10" x14ac:dyDescent="0.25">
      <c r="A37"/>
      <c r="B37" s="13" t="s">
        <v>7</v>
      </c>
      <c r="C37" s="27"/>
      <c r="D37"/>
      <c r="E37" t="s">
        <v>7</v>
      </c>
      <c r="F37" s="28"/>
      <c r="G37" s="15"/>
      <c r="H37" s="19" t="str">
        <f t="shared" si="0"/>
        <v>TRUE</v>
      </c>
      <c r="I37" s="20"/>
      <c r="J37"/>
    </row>
    <row r="38" spans="1:10" x14ac:dyDescent="0.25">
      <c r="A38"/>
      <c r="B38" s="13" t="s">
        <v>104</v>
      </c>
      <c r="C38" s="27"/>
      <c r="D38"/>
      <c r="E38" t="s">
        <v>104</v>
      </c>
      <c r="F38" s="27"/>
      <c r="G38" s="15"/>
      <c r="H38" s="19"/>
      <c r="I38" s="20"/>
      <c r="J38"/>
    </row>
    <row r="39" spans="1:10" x14ac:dyDescent="0.25">
      <c r="A39"/>
      <c r="B39" s="13" t="s">
        <v>96</v>
      </c>
      <c r="C39" s="27"/>
      <c r="D39"/>
      <c r="E39" t="s">
        <v>96</v>
      </c>
      <c r="F39" s="27"/>
      <c r="G39" s="15"/>
      <c r="H39" s="19"/>
      <c r="I39" s="20"/>
      <c r="J39"/>
    </row>
    <row r="40" spans="1:10" x14ac:dyDescent="0.25">
      <c r="A40"/>
      <c r="B40" s="13" t="s">
        <v>105</v>
      </c>
      <c r="C40" s="27"/>
      <c r="D40"/>
      <c r="E40" t="s">
        <v>105</v>
      </c>
      <c r="F40" s="27"/>
      <c r="G40" s="15"/>
      <c r="H40" s="19"/>
      <c r="I40" s="20"/>
      <c r="J40"/>
    </row>
    <row r="41" spans="1:10" x14ac:dyDescent="0.25">
      <c r="A41"/>
      <c r="B41" s="13"/>
      <c r="C41" s="28"/>
      <c r="D41"/>
      <c r="E41"/>
      <c r="F41" s="28"/>
      <c r="G41" s="15"/>
      <c r="H41" s="19"/>
      <c r="I41" s="20"/>
      <c r="J41"/>
    </row>
    <row r="42" spans="1:10" x14ac:dyDescent="0.25">
      <c r="A42"/>
      <c r="B42" s="58" t="s">
        <v>8</v>
      </c>
      <c r="C42" s="28"/>
      <c r="D42"/>
      <c r="E42" s="64" t="s">
        <v>8</v>
      </c>
      <c r="F42" s="28"/>
      <c r="G42" s="15"/>
      <c r="H42" s="19" t="str">
        <f>IF(E42&lt;&gt;"","TRUE",FALSE)</f>
        <v>TRUE</v>
      </c>
      <c r="I42" s="20"/>
      <c r="J42"/>
    </row>
    <row r="43" spans="1:10" x14ac:dyDescent="0.25">
      <c r="A43"/>
      <c r="B43" s="57" t="s">
        <v>94</v>
      </c>
      <c r="C43" s="27"/>
      <c r="D43"/>
      <c r="E43" t="s">
        <v>94</v>
      </c>
      <c r="F43" s="28"/>
      <c r="G43" s="15"/>
      <c r="H43" s="19" t="str">
        <f t="shared" ref="H43:H46" si="1">IF(E43&lt;&gt;"","TRUE",FALSE)</f>
        <v>TRUE</v>
      </c>
      <c r="I43" s="20"/>
      <c r="J43"/>
    </row>
    <row r="44" spans="1:10" x14ac:dyDescent="0.25">
      <c r="A44"/>
      <c r="B44" s="57" t="s">
        <v>95</v>
      </c>
      <c r="C44" s="27"/>
      <c r="D44"/>
      <c r="E44" t="s">
        <v>95</v>
      </c>
      <c r="F44" s="28"/>
      <c r="G44" s="15"/>
      <c r="H44" s="19" t="str">
        <f t="shared" si="1"/>
        <v>TRUE</v>
      </c>
      <c r="I44" s="20"/>
      <c r="J44"/>
    </row>
    <row r="45" spans="1:10" x14ac:dyDescent="0.25">
      <c r="A45"/>
      <c r="B45" s="57" t="s">
        <v>138</v>
      </c>
      <c r="C45" s="27"/>
      <c r="D45"/>
      <c r="E45" t="s">
        <v>138</v>
      </c>
      <c r="F45" s="27"/>
      <c r="G45" s="15"/>
      <c r="H45" s="19"/>
      <c r="I45" s="20"/>
      <c r="J45"/>
    </row>
    <row r="46" spans="1:10" x14ac:dyDescent="0.25">
      <c r="A46"/>
      <c r="B46" s="57" t="s">
        <v>6</v>
      </c>
      <c r="C46" s="27"/>
      <c r="D46"/>
      <c r="E46" t="s">
        <v>6</v>
      </c>
      <c r="F46" s="28"/>
      <c r="G46" s="15"/>
      <c r="H46" s="19" t="str">
        <f t="shared" si="1"/>
        <v>TRUE</v>
      </c>
      <c r="I46" s="20" t="b">
        <f>ISERROR(VLOOKUP(C46,'Risque géographique'!$B:$B,1,FALSE))</f>
        <v>1</v>
      </c>
      <c r="J46"/>
    </row>
    <row r="47" spans="1:10" x14ac:dyDescent="0.25">
      <c r="A47"/>
      <c r="B47" s="57"/>
      <c r="C47" s="28"/>
      <c r="D47"/>
      <c r="E47"/>
      <c r="F47" s="28"/>
      <c r="G47" s="15"/>
      <c r="H47" s="19"/>
      <c r="I47" s="20">
        <f>IF(I46=FALSE,10,0)</f>
        <v>0</v>
      </c>
      <c r="J47"/>
    </row>
    <row r="48" spans="1:10" x14ac:dyDescent="0.25">
      <c r="A48"/>
      <c r="B48" s="68" t="s">
        <v>109</v>
      </c>
      <c r="C48" s="28"/>
      <c r="D48"/>
      <c r="E48" s="64" t="s">
        <v>109</v>
      </c>
      <c r="F48" s="28"/>
      <c r="G48" s="15"/>
      <c r="H48" s="19"/>
      <c r="I48" s="20"/>
      <c r="J48"/>
    </row>
    <row r="49" spans="1:10" x14ac:dyDescent="0.25">
      <c r="A49"/>
      <c r="B49" s="13" t="s">
        <v>93</v>
      </c>
      <c r="C49" s="31"/>
      <c r="D49"/>
      <c r="E49" t="s">
        <v>93</v>
      </c>
      <c r="F49" s="31"/>
      <c r="G49" s="15"/>
      <c r="H49" s="19"/>
      <c r="I49" s="20" t="b">
        <f>ISERROR(VLOOKUP(F46,'Risque géographique'!$B:$B,1,FALSE))</f>
        <v>1</v>
      </c>
      <c r="J49"/>
    </row>
    <row r="50" spans="1:10" x14ac:dyDescent="0.25">
      <c r="A50"/>
      <c r="B50" s="13" t="s">
        <v>13</v>
      </c>
      <c r="C50" s="31"/>
      <c r="D50"/>
      <c r="E50" t="s">
        <v>13</v>
      </c>
      <c r="F50" s="31"/>
      <c r="G50" s="15"/>
      <c r="H50" s="19"/>
      <c r="I50" s="20"/>
      <c r="J50"/>
    </row>
    <row r="51" spans="1:10" x14ac:dyDescent="0.25">
      <c r="A51"/>
      <c r="B51" s="18"/>
      <c r="C51" s="65"/>
      <c r="D51" s="16"/>
      <c r="E51" s="16"/>
      <c r="F51" s="65"/>
      <c r="G51" s="17"/>
      <c r="H51" s="19"/>
      <c r="I51" s="20">
        <f>IF(I49=FALSE,10,0)</f>
        <v>0</v>
      </c>
      <c r="J51"/>
    </row>
    <row r="52" spans="1:10" x14ac:dyDescent="0.25">
      <c r="A52"/>
      <c r="B52"/>
      <c r="C52"/>
      <c r="D52"/>
      <c r="E52"/>
      <c r="F52"/>
      <c r="G52"/>
      <c r="H52" s="19"/>
      <c r="I52" s="20"/>
      <c r="J52"/>
    </row>
    <row r="53" spans="1:10" x14ac:dyDescent="0.25">
      <c r="A53"/>
      <c r="B53" s="21" t="s">
        <v>197</v>
      </c>
      <c r="C53"/>
      <c r="D53"/>
      <c r="E53"/>
      <c r="F53"/>
      <c r="G53"/>
      <c r="H53" s="19"/>
      <c r="I53" s="20"/>
      <c r="J53"/>
    </row>
    <row r="54" spans="1:10" x14ac:dyDescent="0.25">
      <c r="A54"/>
      <c r="B54" s="61"/>
      <c r="C54" s="63" t="s">
        <v>97</v>
      </c>
      <c r="D54" s="26"/>
      <c r="E54" s="62"/>
      <c r="F54" s="62" t="s">
        <v>108</v>
      </c>
      <c r="G54" s="69"/>
      <c r="H54" s="19"/>
      <c r="I54" s="20"/>
      <c r="J54"/>
    </row>
    <row r="55" spans="1:10" x14ac:dyDescent="0.25">
      <c r="A55"/>
      <c r="B55" s="13" t="s">
        <v>110</v>
      </c>
      <c r="C55" s="31"/>
      <c r="D55" s="28"/>
      <c r="E55" s="28" t="s">
        <v>165</v>
      </c>
      <c r="F55" s="31"/>
      <c r="G55" s="43"/>
      <c r="H55" s="19"/>
      <c r="I55" s="20"/>
      <c r="J55"/>
    </row>
    <row r="56" spans="1:10" x14ac:dyDescent="0.25">
      <c r="A56"/>
      <c r="B56" s="13" t="s">
        <v>114</v>
      </c>
      <c r="C56" s="31"/>
      <c r="D56" s="28"/>
      <c r="E56" s="28" t="s">
        <v>114</v>
      </c>
      <c r="F56" s="31"/>
      <c r="G56" s="43"/>
      <c r="H56" s="19"/>
      <c r="I56" s="20"/>
      <c r="J56"/>
    </row>
    <row r="57" spans="1:10" x14ac:dyDescent="0.25">
      <c r="A57"/>
      <c r="B57" s="13" t="s">
        <v>118</v>
      </c>
      <c r="C57" s="30"/>
      <c r="D57" s="28"/>
      <c r="E57" s="28" t="s">
        <v>118</v>
      </c>
      <c r="F57" s="30"/>
      <c r="G57" s="43"/>
      <c r="H57" s="19"/>
      <c r="I57" s="20"/>
      <c r="J57"/>
    </row>
    <row r="58" spans="1:10" x14ac:dyDescent="0.25">
      <c r="A58"/>
      <c r="B58" s="13" t="s">
        <v>119</v>
      </c>
      <c r="C58" s="30"/>
      <c r="D58" s="28"/>
      <c r="E58" s="28" t="s">
        <v>119</v>
      </c>
      <c r="F58" s="30"/>
      <c r="G58" s="43"/>
      <c r="H58" s="19"/>
      <c r="I58" s="20"/>
      <c r="J58"/>
    </row>
    <row r="59" spans="1:10" x14ac:dyDescent="0.25">
      <c r="A59"/>
      <c r="B59" s="13" t="s">
        <v>120</v>
      </c>
      <c r="C59" s="27"/>
      <c r="D59" s="28"/>
      <c r="E59" s="42" t="s">
        <v>120</v>
      </c>
      <c r="F59" s="27"/>
      <c r="G59" s="43"/>
      <c r="H59" s="19"/>
      <c r="I59" s="20"/>
      <c r="J59"/>
    </row>
    <row r="60" spans="1:10" x14ac:dyDescent="0.25">
      <c r="A60"/>
      <c r="B60" s="18"/>
      <c r="C60" s="16"/>
      <c r="D60" s="32"/>
      <c r="E60" s="32"/>
      <c r="F60" s="32"/>
      <c r="G60" s="40"/>
      <c r="H60" s="19"/>
      <c r="I60" s="20"/>
      <c r="J60"/>
    </row>
    <row r="61" spans="1:10" x14ac:dyDescent="0.25">
      <c r="A61"/>
      <c r="B61"/>
      <c r="C61"/>
      <c r="D61"/>
      <c r="E61"/>
      <c r="F61"/>
      <c r="G61"/>
      <c r="H61" s="19"/>
      <c r="I61" s="20"/>
      <c r="J61"/>
    </row>
    <row r="62" spans="1:10" x14ac:dyDescent="0.25">
      <c r="A62"/>
      <c r="B62" s="21" t="s">
        <v>107</v>
      </c>
      <c r="C62"/>
      <c r="D62"/>
      <c r="E62"/>
      <c r="F62"/>
      <c r="G62"/>
      <c r="H62" s="19"/>
      <c r="I62" s="20"/>
      <c r="J62"/>
    </row>
    <row r="63" spans="1:10" ht="18.75" customHeight="1" x14ac:dyDescent="0.25">
      <c r="A63"/>
      <c r="B63" s="120" t="s">
        <v>121</v>
      </c>
      <c r="C63" s="122"/>
      <c r="D63" s="11"/>
      <c r="E63" s="11" t="s">
        <v>151</v>
      </c>
      <c r="F63" s="29"/>
      <c r="G63" s="33"/>
      <c r="H63" s="19"/>
      <c r="I63" s="38">
        <f>SUM(I31:I61)</f>
        <v>0</v>
      </c>
      <c r="J63"/>
    </row>
    <row r="64" spans="1:10" x14ac:dyDescent="0.25">
      <c r="A64"/>
      <c r="B64" s="121"/>
      <c r="C64" s="123"/>
      <c r="D64"/>
      <c r="E64" s="70"/>
      <c r="F64" s="27"/>
      <c r="G64" s="34"/>
      <c r="H64" s="19"/>
      <c r="I64" s="9"/>
      <c r="J64"/>
    </row>
    <row r="65" spans="1:10" x14ac:dyDescent="0.25">
      <c r="A65"/>
      <c r="B65" s="18"/>
      <c r="C65" s="16"/>
      <c r="D65" s="16"/>
      <c r="E65" s="16"/>
      <c r="F65" s="16"/>
      <c r="G65" s="17"/>
      <c r="H65" s="19"/>
      <c r="I65" s="20"/>
      <c r="J65"/>
    </row>
    <row r="66" spans="1:10" x14ac:dyDescent="0.25">
      <c r="A66"/>
      <c r="B66"/>
      <c r="C66"/>
      <c r="D66"/>
      <c r="E66"/>
      <c r="F66"/>
      <c r="G66"/>
      <c r="H66" s="19"/>
      <c r="I66" s="20"/>
      <c r="J66"/>
    </row>
    <row r="67" spans="1:10" x14ac:dyDescent="0.25">
      <c r="A67"/>
      <c r="B67" t="s">
        <v>106</v>
      </c>
      <c r="C67" s="30"/>
      <c r="D67"/>
      <c r="E67" t="s">
        <v>124</v>
      </c>
      <c r="F67"/>
      <c r="G67"/>
      <c r="H67" s="19"/>
      <c r="I67" s="20"/>
      <c r="J67"/>
    </row>
    <row r="68" spans="1:10" x14ac:dyDescent="0.25">
      <c r="A68"/>
      <c r="B68" t="s">
        <v>123</v>
      </c>
      <c r="C68" s="27"/>
      <c r="D68"/>
      <c r="E68"/>
      <c r="F68" s="9"/>
      <c r="G68"/>
      <c r="H68" s="19"/>
      <c r="I68" s="20"/>
      <c r="J68"/>
    </row>
    <row r="69" spans="1:10" ht="30" x14ac:dyDescent="0.25">
      <c r="A69"/>
      <c r="B69" s="71" t="s">
        <v>122</v>
      </c>
      <c r="C69" s="27"/>
      <c r="D69"/>
      <c r="E69"/>
      <c r="F69"/>
      <c r="G69"/>
      <c r="H69" s="19"/>
      <c r="I69" s="20"/>
      <c r="J69"/>
    </row>
    <row r="70" spans="1:10" x14ac:dyDescent="0.25">
      <c r="A70"/>
      <c r="B70"/>
      <c r="C70"/>
      <c r="D70"/>
      <c r="E70"/>
      <c r="F70"/>
      <c r="G70"/>
      <c r="H70" s="19"/>
      <c r="I70" s="20"/>
      <c r="J70"/>
    </row>
    <row r="71" spans="1:10" x14ac:dyDescent="0.25">
      <c r="A71"/>
      <c r="B71"/>
      <c r="C71"/>
      <c r="D71"/>
      <c r="E71"/>
      <c r="F71"/>
      <c r="G71"/>
      <c r="H71" s="19"/>
      <c r="I71" s="20"/>
      <c r="J71"/>
    </row>
    <row r="72" spans="1:10" x14ac:dyDescent="0.25">
      <c r="A72"/>
      <c r="B72"/>
      <c r="C72"/>
      <c r="D72"/>
      <c r="E72"/>
      <c r="F72"/>
      <c r="G72"/>
      <c r="H72" s="19"/>
      <c r="I72" s="20"/>
      <c r="J72"/>
    </row>
  </sheetData>
  <protectedRanges>
    <protectedRange sqref="F33:F39 C43:C46 C49:C51 C32:C39 F49:F51 C55:C59 F55:F59 C63 B70:B73 C67:C69 F63:G64 C13:C17 F6:F8 F10:F12 F43:F46 C7:C10 C27:C28 C21:C24" name="PP"/>
    <protectedRange sqref="Q11 Q13:Q15" name="PP_1"/>
  </protectedRanges>
  <dataConsolidate/>
  <mergeCells count="2">
    <mergeCell ref="B63:B64"/>
    <mergeCell ref="C63:C64"/>
  </mergeCells>
  <conditionalFormatting sqref="F34:F37 F10:F12 F6:F8 F41 F43:F44 F46">
    <cfRule type="expression" dxfId="87" priority="9">
      <formula>$H6="TRUE"</formula>
    </cfRule>
  </conditionalFormatting>
  <conditionalFormatting sqref="C63">
    <cfRule type="containsText" dxfId="86" priority="4" operator="containsText" text="Risque faible">
      <formula>NOT(ISERROR(SEARCH("Risque faible",C63)))</formula>
    </cfRule>
    <cfRule type="containsText" dxfId="85" priority="5" operator="containsText" text="Risque élevé">
      <formula>NOT(ISERROR(SEARCH("Risque élevé",C63)))</formula>
    </cfRule>
    <cfRule type="containsText" dxfId="84" priority="6" operator="containsText" text="Risque moyen">
      <formula>NOT(ISERROR(SEARCH("Risque moyen",C63)))</formula>
    </cfRule>
  </conditionalFormatting>
  <conditionalFormatting sqref="E59 G54:G59">
    <cfRule type="containsText" dxfId="83" priority="7" operator="containsText" text="Relation d'affaire en suspend">
      <formula>NOT(ISERROR(SEARCH("Relation d'affaire en suspend",E54)))</formula>
    </cfRule>
    <cfRule type="containsText" dxfId="82" priority="8" operator="containsText" text="Prière de dater et signer la copie du document d'identité obtenue">
      <formula>NOT(ISERROR(SEARCH("Prière de dater et signer la copie du document d'identité obtenue",E54)))</formula>
    </cfRule>
  </conditionalFormatting>
  <conditionalFormatting sqref="Q13:Q15 Q11">
    <cfRule type="expression" dxfId="81" priority="1">
      <formula>$H11="TRUE"</formula>
    </cfRule>
  </conditionalFormatting>
  <dataValidations count="2">
    <dataValidation type="list" allowBlank="1" showInputMessage="1" showErrorMessage="1" sqref="C8" xr:uid="{44EB1362-3D11-4FBC-B4DA-68E604F60EC9}">
      <formula1>$Q$11:$Q$15</formula1>
    </dataValidation>
    <dataValidation type="list" allowBlank="1" showInputMessage="1" showErrorMessage="1" sqref="C23" xr:uid="{763F9D5E-DBA1-488C-84B8-AA866A0ED361}">
      <formula1>$R$11:$R$14</formula1>
    </dataValidation>
  </dataValidations>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Impression">
                <anchor moveWithCells="1" sizeWithCells="1">
                  <from>
                    <xdr:col>0</xdr:col>
                    <xdr:colOff>228600</xdr:colOff>
                    <xdr:row>70</xdr:row>
                    <xdr:rowOff>19050</xdr:rowOff>
                  </from>
                  <to>
                    <xdr:col>2</xdr:col>
                    <xdr:colOff>0</xdr:colOff>
                    <xdr:row>72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showInputMessage="1" showErrorMessage="1" xr:uid="{B60F46DD-9266-4583-850D-B913246A5D28}">
          <x14:formula1>
            <xm:f>Options!$C$5:$C$8</xm:f>
          </x14:formula1>
          <xm:sqref>C40 F40</xm:sqref>
        </x14:dataValidation>
        <x14:dataValidation type="list" allowBlank="1" showInputMessage="1" showErrorMessage="1" xr:uid="{97221F42-F632-4ECC-A20C-FC72549A89CA}">
          <x14:formula1>
            <xm:f>Options!$I$16:$I$20</xm:f>
          </x14:formula1>
          <xm:sqref>C24</xm:sqref>
        </x14:dataValidation>
        <x14:dataValidation type="list" allowBlank="1" showInputMessage="1" showErrorMessage="1" xr:uid="{1FEA6655-A763-4932-9FE7-3F216D567DFA}">
          <x14:formula1>
            <xm:f>Options!$E$36:$E$38</xm:f>
          </x14:formula1>
          <xm:sqref>C56 F56</xm:sqref>
        </x14:dataValidation>
        <x14:dataValidation type="list" allowBlank="1" showInputMessage="1" showErrorMessage="1" xr:uid="{23C3D362-5097-45F0-A53F-B125E2598DB1}">
          <x14:formula1>
            <xm:f>Options!$E$32:$E$33</xm:f>
          </x14:formula1>
          <xm:sqref>C55 F55</xm:sqref>
        </x14:dataValidation>
        <x14:dataValidation type="list" allowBlank="1" showInputMessage="1" showErrorMessage="1" xr:uid="{54149D98-21CB-492F-8032-365D93E0BBC3}">
          <x14:formula1>
            <xm:f>Options!$B$24:$B$28</xm:f>
          </x14:formula1>
          <xm:sqref>C26</xm:sqref>
        </x14:dataValidation>
        <x14:dataValidation type="list" allowBlank="1" showInputMessage="1" showErrorMessage="1" xr:uid="{37EE5DA6-E425-471D-A9D6-0CB1A9FBD399}">
          <x14:formula1>
            <xm:f>Options!$C$19:$C$21</xm:f>
          </x14:formula1>
          <xm:sqref>C63</xm:sqref>
        </x14:dataValidation>
        <x14:dataValidation type="list" allowBlank="1" showInputMessage="1" showErrorMessage="1" xr:uid="{9B901277-6AEF-45F4-9589-79ABB01A8060}">
          <x14:formula1>
            <xm:f>Options!$F$5:$F$6</xm:f>
          </x14:formula1>
          <xm:sqref>C59 F59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24829-1554-4255-AFBA-4EA7D5F85BDA}">
  <sheetPr codeName="Sheet3">
    <tabColor rgb="FF0070C0"/>
  </sheetPr>
  <dimension ref="A1:J312"/>
  <sheetViews>
    <sheetView showGridLines="0" topLeftCell="A6" zoomScale="85" zoomScaleNormal="85" zoomScaleSheetLayoutView="100" workbookViewId="0">
      <selection activeCell="C24" sqref="C24"/>
    </sheetView>
  </sheetViews>
  <sheetFormatPr defaultColWidth="9.140625" defaultRowHeight="15" x14ac:dyDescent="0.25"/>
  <cols>
    <col min="1" max="1" width="3.5703125" style="12" customWidth="1"/>
    <col min="2" max="2" width="46.140625" style="12" customWidth="1"/>
    <col min="3" max="3" width="37" style="12" customWidth="1"/>
    <col min="4" max="4" width="2.7109375" style="12" customWidth="1"/>
    <col min="5" max="5" width="29.28515625" style="12" customWidth="1"/>
    <col min="6" max="6" width="29.140625" style="12" customWidth="1"/>
    <col min="7" max="7" width="19.85546875" style="12" customWidth="1"/>
    <col min="8" max="8" width="7.42578125" style="45" hidden="1" customWidth="1"/>
    <col min="9" max="9" width="9.42578125" style="46" hidden="1" customWidth="1"/>
    <col min="10" max="10" width="9.42578125" style="12" hidden="1" customWidth="1"/>
    <col min="11" max="16384" width="9.140625" style="12"/>
  </cols>
  <sheetData>
    <row r="1" spans="1:10" x14ac:dyDescent="0.25">
      <c r="A1"/>
      <c r="B1"/>
      <c r="C1"/>
      <c r="D1"/>
      <c r="E1"/>
      <c r="F1"/>
      <c r="G1"/>
      <c r="H1" s="19"/>
      <c r="I1" s="20"/>
      <c r="J1"/>
    </row>
    <row r="2" spans="1:10" s="24" customFormat="1" ht="15.75" x14ac:dyDescent="0.25">
      <c r="A2" s="21"/>
      <c r="B2" s="51" t="s">
        <v>178</v>
      </c>
      <c r="C2" s="53"/>
      <c r="D2" s="53"/>
      <c r="E2" s="53"/>
      <c r="F2" s="53"/>
      <c r="G2" s="56" t="s">
        <v>153</v>
      </c>
      <c r="H2" s="22"/>
      <c r="I2" s="23"/>
      <c r="J2" s="21"/>
    </row>
    <row r="3" spans="1:10" s="24" customFormat="1" ht="15.75" x14ac:dyDescent="0.25">
      <c r="A3" s="21"/>
      <c r="B3" s="25"/>
      <c r="C3" s="21"/>
      <c r="D3" s="21"/>
      <c r="E3" s="21"/>
      <c r="F3" s="21"/>
      <c r="G3" s="54"/>
      <c r="H3" s="22"/>
      <c r="I3" s="23"/>
      <c r="J3" s="21"/>
    </row>
    <row r="4" spans="1:10" s="24" customFormat="1" ht="15.75" x14ac:dyDescent="0.25">
      <c r="A4" s="21"/>
      <c r="B4" s="78"/>
      <c r="C4" s="53"/>
      <c r="D4" s="53"/>
      <c r="E4" s="53"/>
      <c r="F4" s="53"/>
      <c r="G4" s="55"/>
      <c r="H4" s="22"/>
      <c r="I4" s="23"/>
      <c r="J4" s="21"/>
    </row>
    <row r="5" spans="1:10" s="24" customFormat="1" x14ac:dyDescent="0.25">
      <c r="A5"/>
      <c r="B5" s="21" t="s">
        <v>128</v>
      </c>
      <c r="C5"/>
      <c r="D5"/>
      <c r="E5"/>
      <c r="F5"/>
      <c r="G5"/>
      <c r="H5" s="22"/>
      <c r="I5" s="23"/>
      <c r="J5" s="21"/>
    </row>
    <row r="6" spans="1:10" s="24" customFormat="1" x14ac:dyDescent="0.25">
      <c r="A6"/>
      <c r="B6" s="72" t="s">
        <v>141</v>
      </c>
      <c r="C6" s="26"/>
      <c r="D6" s="26"/>
      <c r="E6" s="26" t="str">
        <f>IF($C$7="Autres","Spécifier :","")</f>
        <v/>
      </c>
      <c r="F6" s="26"/>
      <c r="G6" s="33"/>
      <c r="H6" s="22"/>
      <c r="I6" s="23"/>
      <c r="J6" s="21"/>
    </row>
    <row r="7" spans="1:10" s="24" customFormat="1" x14ac:dyDescent="0.25">
      <c r="A7"/>
      <c r="B7" s="13" t="s">
        <v>98</v>
      </c>
      <c r="C7" s="27"/>
      <c r="D7" s="28"/>
      <c r="E7" s="28"/>
      <c r="F7" s="28"/>
      <c r="G7" s="34"/>
      <c r="H7" s="22"/>
      <c r="I7" s="23"/>
      <c r="J7" s="21"/>
    </row>
    <row r="8" spans="1:10" s="24" customFormat="1" x14ac:dyDescent="0.25">
      <c r="A8"/>
      <c r="B8" s="13" t="s">
        <v>133</v>
      </c>
      <c r="C8" s="27"/>
      <c r="D8" s="28"/>
      <c r="E8" s="28" t="str">
        <f>IF($C$8="Autres","Spécifier :","")</f>
        <v/>
      </c>
      <c r="F8" s="28"/>
      <c r="G8" s="34"/>
      <c r="H8" s="22"/>
      <c r="I8" s="23"/>
      <c r="J8" s="21"/>
    </row>
    <row r="9" spans="1:10" s="24" customFormat="1" x14ac:dyDescent="0.25">
      <c r="A9"/>
      <c r="B9" s="13" t="s">
        <v>140</v>
      </c>
      <c r="C9" s="27"/>
      <c r="D9" s="28"/>
      <c r="E9" s="28"/>
      <c r="F9" s="28"/>
      <c r="G9" s="34"/>
      <c r="H9" s="22"/>
      <c r="I9" s="23"/>
      <c r="J9" s="21"/>
    </row>
    <row r="10" spans="1:10" s="24" customFormat="1" x14ac:dyDescent="0.25">
      <c r="A10"/>
      <c r="B10" s="13" t="s">
        <v>89</v>
      </c>
      <c r="C10" s="27"/>
      <c r="D10" s="28"/>
      <c r="E10" s="28"/>
      <c r="F10" s="28"/>
      <c r="G10" s="34"/>
      <c r="H10" s="22"/>
      <c r="I10" s="23"/>
      <c r="J10" s="21"/>
    </row>
    <row r="11" spans="1:10" s="24" customFormat="1" x14ac:dyDescent="0.25">
      <c r="A11"/>
      <c r="B11" s="13"/>
      <c r="C11" s="28"/>
      <c r="D11" s="28"/>
      <c r="E11" s="28"/>
      <c r="F11" s="28"/>
      <c r="G11" s="34"/>
      <c r="H11" s="22"/>
      <c r="I11" s="23"/>
      <c r="J11" s="21"/>
    </row>
    <row r="12" spans="1:10" s="24" customFormat="1" x14ac:dyDescent="0.25">
      <c r="A12"/>
      <c r="B12" s="66" t="s">
        <v>137</v>
      </c>
      <c r="C12" s="28"/>
      <c r="D12" s="28"/>
      <c r="E12" s="28"/>
      <c r="F12" s="28"/>
      <c r="G12" s="34"/>
      <c r="H12" s="22"/>
      <c r="I12" s="23"/>
      <c r="J12" s="21"/>
    </row>
    <row r="13" spans="1:10" s="24" customFormat="1" x14ac:dyDescent="0.25">
      <c r="A13"/>
      <c r="B13" s="57" t="s">
        <v>94</v>
      </c>
      <c r="C13" s="27"/>
      <c r="D13" s="28"/>
      <c r="E13" s="28"/>
      <c r="F13" s="28"/>
      <c r="G13" s="34"/>
      <c r="H13" s="22"/>
      <c r="I13" s="23"/>
      <c r="J13" s="21"/>
    </row>
    <row r="14" spans="1:10" s="24" customFormat="1" x14ac:dyDescent="0.25">
      <c r="A14"/>
      <c r="B14" s="57" t="s">
        <v>95</v>
      </c>
      <c r="C14" s="27"/>
      <c r="D14" s="28"/>
      <c r="E14" s="28"/>
      <c r="F14" s="28"/>
      <c r="G14" s="34"/>
      <c r="H14" s="22"/>
      <c r="I14" s="23"/>
      <c r="J14" s="21"/>
    </row>
    <row r="15" spans="1:10" s="24" customFormat="1" x14ac:dyDescent="0.25">
      <c r="A15"/>
      <c r="B15" s="57" t="s">
        <v>138</v>
      </c>
      <c r="C15" s="27"/>
      <c r="D15" s="28"/>
      <c r="E15" s="28"/>
      <c r="F15" s="28"/>
      <c r="G15" s="34"/>
      <c r="H15" s="22"/>
      <c r="I15" s="23"/>
      <c r="J15" s="21"/>
    </row>
    <row r="16" spans="1:10" s="24" customFormat="1" x14ac:dyDescent="0.25">
      <c r="A16"/>
      <c r="B16" s="57" t="s">
        <v>6</v>
      </c>
      <c r="C16" s="27"/>
      <c r="D16" s="28"/>
      <c r="E16" s="28"/>
      <c r="F16" s="28"/>
      <c r="G16" s="34"/>
      <c r="H16" s="22"/>
      <c r="I16" s="23"/>
      <c r="J16" s="21"/>
    </row>
    <row r="17" spans="1:10" s="24" customFormat="1" x14ac:dyDescent="0.25">
      <c r="A17"/>
      <c r="B17" s="57" t="s">
        <v>148</v>
      </c>
      <c r="C17" s="27"/>
      <c r="D17" s="28"/>
      <c r="E17" s="28"/>
      <c r="F17" s="28"/>
      <c r="G17" s="34"/>
      <c r="H17" s="22"/>
      <c r="I17" s="23"/>
      <c r="J17" s="21"/>
    </row>
    <row r="18" spans="1:10" s="24" customFormat="1" x14ac:dyDescent="0.25">
      <c r="A18"/>
      <c r="B18" s="57"/>
      <c r="C18" s="28"/>
      <c r="D18" s="28"/>
      <c r="E18" s="28"/>
      <c r="F18" s="28"/>
      <c r="G18" s="34"/>
      <c r="H18" s="22"/>
      <c r="I18" s="23"/>
      <c r="J18" s="21"/>
    </row>
    <row r="19" spans="1:10" s="24" customFormat="1" x14ac:dyDescent="0.25">
      <c r="A19"/>
      <c r="B19" s="103" t="s">
        <v>204</v>
      </c>
      <c r="C19" s="110"/>
      <c r="D19" s="110"/>
      <c r="E19" s="103" t="s">
        <v>203</v>
      </c>
      <c r="F19" s="110"/>
      <c r="G19" s="34"/>
      <c r="H19" s="22"/>
      <c r="I19" s="23"/>
      <c r="J19" s="21"/>
    </row>
    <row r="20" spans="1:10" s="24" customFormat="1" x14ac:dyDescent="0.25">
      <c r="A20"/>
      <c r="B20" s="73" t="s">
        <v>205</v>
      </c>
      <c r="C20" s="28"/>
      <c r="D20" s="28"/>
      <c r="E20" s="73" t="s">
        <v>205</v>
      </c>
      <c r="F20" s="28"/>
      <c r="G20" s="34"/>
      <c r="H20" s="22"/>
      <c r="I20" s="23"/>
      <c r="J20" s="21"/>
    </row>
    <row r="21" spans="1:10" s="24" customFormat="1" x14ac:dyDescent="0.25">
      <c r="A21"/>
      <c r="B21" s="13" t="s">
        <v>209</v>
      </c>
      <c r="C21" s="74"/>
      <c r="D21" s="28"/>
      <c r="E21" s="57" t="s">
        <v>213</v>
      </c>
      <c r="F21" s="74"/>
      <c r="G21" s="34"/>
      <c r="H21" s="22"/>
      <c r="I21" s="23"/>
      <c r="J21" s="21"/>
    </row>
    <row r="22" spans="1:10" s="24" customFormat="1" ht="15.75" thickBot="1" x14ac:dyDescent="0.3">
      <c r="A22"/>
      <c r="B22" s="13" t="s">
        <v>142</v>
      </c>
      <c r="C22" s="76"/>
      <c r="D22" s="28"/>
      <c r="E22" s="57"/>
      <c r="F22" s="28"/>
      <c r="G22" s="34"/>
      <c r="H22" s="22"/>
      <c r="I22" s="23"/>
      <c r="J22" s="21"/>
    </row>
    <row r="23" spans="1:10" s="24" customFormat="1" ht="15.75" thickTop="1" x14ac:dyDescent="0.25">
      <c r="A23"/>
      <c r="B23" s="107" t="s">
        <v>210</v>
      </c>
      <c r="C23" s="108">
        <f>C21+C22</f>
        <v>0</v>
      </c>
      <c r="D23" s="28"/>
      <c r="E23" s="109" t="s">
        <v>212</v>
      </c>
      <c r="F23" s="28"/>
      <c r="G23" s="34"/>
      <c r="H23" s="22"/>
      <c r="I23" s="23"/>
      <c r="J23" s="21"/>
    </row>
    <row r="24" spans="1:10" s="24" customFormat="1" x14ac:dyDescent="0.25">
      <c r="A24"/>
      <c r="B24" s="13"/>
      <c r="C24" s="75"/>
      <c r="D24" s="28"/>
      <c r="E24" s="36" t="s">
        <v>18</v>
      </c>
      <c r="F24" s="111"/>
      <c r="G24" s="34"/>
      <c r="H24" s="22"/>
      <c r="I24" s="23"/>
      <c r="J24" s="21"/>
    </row>
    <row r="25" spans="1:10" s="24" customFormat="1" x14ac:dyDescent="0.25">
      <c r="A25" s="35"/>
      <c r="B25" s="36" t="s">
        <v>18</v>
      </c>
      <c r="C25" s="111"/>
      <c r="D25" s="112"/>
      <c r="E25" s="36" t="s">
        <v>157</v>
      </c>
      <c r="F25" s="111"/>
      <c r="G25" s="37"/>
      <c r="H25" s="22"/>
      <c r="I25" s="23"/>
      <c r="J25" s="21"/>
    </row>
    <row r="26" spans="1:10" s="24" customFormat="1" x14ac:dyDescent="0.25">
      <c r="A26" s="35"/>
      <c r="B26" s="36" t="s">
        <v>157</v>
      </c>
      <c r="C26" s="111"/>
      <c r="D26" s="112"/>
      <c r="E26" s="57"/>
      <c r="F26" s="28"/>
      <c r="G26" s="37"/>
      <c r="H26" s="22"/>
      <c r="I26" s="23"/>
      <c r="J26" s="21"/>
    </row>
    <row r="27" spans="1:10" s="24" customFormat="1" x14ac:dyDescent="0.25">
      <c r="A27" s="35"/>
      <c r="B27" s="36" t="s">
        <v>158</v>
      </c>
      <c r="C27" s="111"/>
      <c r="D27" s="112"/>
      <c r="E27" s="109" t="s">
        <v>214</v>
      </c>
      <c r="F27" s="28"/>
      <c r="G27" s="37"/>
      <c r="H27" s="22"/>
      <c r="I27" s="23"/>
      <c r="J27" s="21"/>
    </row>
    <row r="28" spans="1:10" s="24" customFormat="1" x14ac:dyDescent="0.25">
      <c r="A28" s="35"/>
      <c r="B28" s="36"/>
      <c r="C28" s="112"/>
      <c r="D28" s="112"/>
      <c r="E28" s="36" t="s">
        <v>163</v>
      </c>
      <c r="F28" s="111"/>
      <c r="G28" s="37"/>
      <c r="H28" s="22"/>
      <c r="I28" s="23"/>
      <c r="J28" s="21"/>
    </row>
    <row r="29" spans="1:10" s="24" customFormat="1" x14ac:dyDescent="0.25">
      <c r="A29" s="35"/>
      <c r="B29" s="66" t="s">
        <v>206</v>
      </c>
      <c r="C29" s="28"/>
      <c r="D29" s="28"/>
      <c r="E29" s="57"/>
      <c r="F29" s="28"/>
      <c r="G29" s="37"/>
      <c r="H29" s="22"/>
      <c r="I29" s="23"/>
      <c r="J29" s="21"/>
    </row>
    <row r="30" spans="1:10" s="24" customFormat="1" x14ac:dyDescent="0.25">
      <c r="A30" s="35"/>
      <c r="B30" s="13" t="s">
        <v>149</v>
      </c>
      <c r="C30" s="27"/>
      <c r="D30" s="28"/>
      <c r="E30" s="73" t="s">
        <v>206</v>
      </c>
      <c r="F30" s="28"/>
      <c r="G30" s="34"/>
      <c r="H30" s="22"/>
      <c r="I30" s="23"/>
      <c r="J30" s="21"/>
    </row>
    <row r="31" spans="1:10" s="24" customFormat="1" x14ac:dyDescent="0.25">
      <c r="A31" s="35"/>
      <c r="B31" s="13" t="s">
        <v>150</v>
      </c>
      <c r="C31" s="27"/>
      <c r="D31" s="28"/>
      <c r="E31" s="57" t="s">
        <v>130</v>
      </c>
      <c r="F31" s="27"/>
      <c r="G31" s="34"/>
      <c r="H31" s="22"/>
      <c r="I31" s="23"/>
      <c r="J31" s="21"/>
    </row>
    <row r="32" spans="1:10" s="24" customFormat="1" x14ac:dyDescent="0.25">
      <c r="A32" s="35"/>
      <c r="B32" s="13" t="s">
        <v>164</v>
      </c>
      <c r="C32" s="28" t="s">
        <v>103</v>
      </c>
      <c r="D32" s="28"/>
      <c r="E32" s="57" t="s">
        <v>136</v>
      </c>
      <c r="F32" s="27"/>
      <c r="G32" s="34"/>
      <c r="H32" s="22"/>
      <c r="I32" s="23"/>
      <c r="J32" s="21"/>
    </row>
    <row r="33" spans="1:10" s="24" customFormat="1" x14ac:dyDescent="0.25">
      <c r="A33" s="35"/>
      <c r="B33" s="13" t="s">
        <v>136</v>
      </c>
      <c r="C33" s="27"/>
      <c r="D33" s="28"/>
      <c r="E33" s="13" t="s">
        <v>211</v>
      </c>
      <c r="F33" s="27"/>
      <c r="G33" s="34"/>
      <c r="H33" s="22"/>
      <c r="I33" s="23"/>
      <c r="J33" s="21"/>
    </row>
    <row r="34" spans="1:10" s="24" customFormat="1" x14ac:dyDescent="0.25">
      <c r="A34" s="35"/>
      <c r="B34" s="13" t="s">
        <v>211</v>
      </c>
      <c r="C34" s="27"/>
      <c r="D34" s="34"/>
      <c r="E34" s="57"/>
      <c r="F34" s="28"/>
      <c r="G34" s="34"/>
      <c r="H34" s="22"/>
      <c r="I34" s="23"/>
      <c r="J34" s="21"/>
    </row>
    <row r="35" spans="1:10" s="24" customFormat="1" x14ac:dyDescent="0.25">
      <c r="A35"/>
      <c r="B35" s="18"/>
      <c r="C35" s="32"/>
      <c r="D35" s="32"/>
      <c r="E35" s="32"/>
      <c r="F35" s="32"/>
      <c r="G35" s="40"/>
      <c r="H35" s="22"/>
      <c r="I35" s="23"/>
      <c r="J35" s="21"/>
    </row>
    <row r="36" spans="1:10" s="24" customFormat="1" ht="15.75" x14ac:dyDescent="0.25">
      <c r="A36" s="21"/>
      <c r="B36" s="78"/>
      <c r="C36" s="53"/>
      <c r="D36" s="53"/>
      <c r="E36" s="53"/>
      <c r="F36" s="53"/>
      <c r="G36"/>
      <c r="H36" s="22"/>
      <c r="I36" s="23"/>
      <c r="J36" s="21"/>
    </row>
    <row r="37" spans="1:10" x14ac:dyDescent="0.25">
      <c r="A37"/>
      <c r="B37" s="21" t="s">
        <v>198</v>
      </c>
      <c r="C37"/>
      <c r="D37"/>
      <c r="E37"/>
      <c r="F37"/>
      <c r="G37"/>
      <c r="H37" s="19"/>
      <c r="I37" s="20"/>
      <c r="J37"/>
    </row>
    <row r="38" spans="1:10" x14ac:dyDescent="0.25">
      <c r="A38"/>
      <c r="B38" s="10" t="s">
        <v>168</v>
      </c>
      <c r="C38" s="29"/>
      <c r="D38" s="11"/>
      <c r="E38" s="11"/>
      <c r="F38" s="11"/>
      <c r="G38" s="59"/>
      <c r="H38" s="19"/>
      <c r="I38" s="20"/>
      <c r="J38"/>
    </row>
    <row r="39" spans="1:10" x14ac:dyDescent="0.25">
      <c r="A39"/>
      <c r="B39" s="13" t="s">
        <v>80</v>
      </c>
      <c r="C39" s="27"/>
      <c r="D39"/>
      <c r="E39"/>
      <c r="F39"/>
      <c r="G39" s="15"/>
      <c r="H39" s="19"/>
      <c r="I39" s="20"/>
      <c r="J39"/>
    </row>
    <row r="40" spans="1:10" x14ac:dyDescent="0.25">
      <c r="A40"/>
      <c r="B40" s="13" t="s">
        <v>180</v>
      </c>
      <c r="C40" s="27"/>
      <c r="D40"/>
      <c r="E40"/>
      <c r="F40"/>
      <c r="G40" s="15"/>
      <c r="H40" s="19"/>
      <c r="I40" s="20"/>
      <c r="J40"/>
    </row>
    <row r="41" spans="1:10" x14ac:dyDescent="0.25">
      <c r="A41"/>
      <c r="B41" s="13" t="s">
        <v>170</v>
      </c>
      <c r="C41" s="27"/>
      <c r="D41"/>
      <c r="E41"/>
      <c r="F41"/>
      <c r="G41" s="15"/>
      <c r="H41" s="19"/>
      <c r="I41" s="20"/>
      <c r="J41"/>
    </row>
    <row r="42" spans="1:10" x14ac:dyDescent="0.25">
      <c r="A42"/>
      <c r="B42" s="13" t="s">
        <v>171</v>
      </c>
      <c r="C42" s="27"/>
      <c r="D42" s="81"/>
      <c r="E42"/>
      <c r="F42"/>
      <c r="G42" s="15"/>
      <c r="H42" s="19"/>
      <c r="I42" s="20"/>
      <c r="J42"/>
    </row>
    <row r="43" spans="1:10" x14ac:dyDescent="0.25">
      <c r="A43"/>
      <c r="B43" s="13"/>
      <c r="C43"/>
      <c r="D43"/>
      <c r="E43"/>
      <c r="F43"/>
      <c r="G43" s="15"/>
      <c r="H43" s="19"/>
      <c r="I43" s="20"/>
      <c r="J43"/>
    </row>
    <row r="44" spans="1:10" x14ac:dyDescent="0.25">
      <c r="A44"/>
      <c r="B44" s="58" t="s">
        <v>169</v>
      </c>
      <c r="C44" s="28"/>
      <c r="D44"/>
      <c r="E44" s="64" t="s">
        <v>179</v>
      </c>
      <c r="F44" s="28"/>
      <c r="G44" s="15"/>
      <c r="H44" s="19"/>
      <c r="I44" s="20"/>
      <c r="J44"/>
    </row>
    <row r="45" spans="1:10" x14ac:dyDescent="0.25">
      <c r="A45"/>
      <c r="B45" s="57" t="s">
        <v>94</v>
      </c>
      <c r="C45" s="27"/>
      <c r="D45"/>
      <c r="E45" s="28" t="s">
        <v>94</v>
      </c>
      <c r="F45" s="27"/>
      <c r="G45" s="15"/>
      <c r="H45" s="19"/>
      <c r="I45" s="20"/>
      <c r="J45"/>
    </row>
    <row r="46" spans="1:10" x14ac:dyDescent="0.25">
      <c r="A46"/>
      <c r="B46" s="57" t="s">
        <v>95</v>
      </c>
      <c r="C46" s="27"/>
      <c r="D46"/>
      <c r="E46" s="28" t="s">
        <v>95</v>
      </c>
      <c r="F46" s="27"/>
      <c r="G46" s="15"/>
      <c r="H46" s="19"/>
      <c r="I46" s="20"/>
      <c r="J46"/>
    </row>
    <row r="47" spans="1:10" x14ac:dyDescent="0.25">
      <c r="A47"/>
      <c r="B47" s="57" t="s">
        <v>138</v>
      </c>
      <c r="C47" s="27"/>
      <c r="D47"/>
      <c r="E47" s="28" t="s">
        <v>138</v>
      </c>
      <c r="F47" s="27"/>
      <c r="G47" s="15"/>
      <c r="H47" s="19"/>
      <c r="I47" s="20" t="b">
        <f>ISERROR(VLOOKUP(C47,'Risque géographique'!$B:$B,1,FALSE))</f>
        <v>1</v>
      </c>
      <c r="J47"/>
    </row>
    <row r="48" spans="1:10" x14ac:dyDescent="0.25">
      <c r="A48"/>
      <c r="B48" s="57" t="s">
        <v>6</v>
      </c>
      <c r="C48" s="27"/>
      <c r="D48"/>
      <c r="E48" s="28" t="s">
        <v>6</v>
      </c>
      <c r="F48" s="27"/>
      <c r="G48" s="15"/>
      <c r="H48" s="19"/>
      <c r="I48" s="20"/>
      <c r="J48"/>
    </row>
    <row r="49" spans="1:10" x14ac:dyDescent="0.25">
      <c r="A49"/>
      <c r="B49" s="57"/>
      <c r="C49"/>
      <c r="D49"/>
      <c r="E49" s="28"/>
      <c r="F49" s="28"/>
      <c r="G49" s="15"/>
      <c r="H49" s="19"/>
      <c r="I49" s="20"/>
      <c r="J49"/>
    </row>
    <row r="50" spans="1:10" x14ac:dyDescent="0.25">
      <c r="A50"/>
      <c r="B50" s="68" t="s">
        <v>109</v>
      </c>
      <c r="C50" s="28"/>
      <c r="D50"/>
      <c r="E50" s="28"/>
      <c r="F50" s="28"/>
      <c r="G50" s="15"/>
      <c r="H50" s="19"/>
      <c r="I50" s="20"/>
      <c r="J50"/>
    </row>
    <row r="51" spans="1:10" x14ac:dyDescent="0.25">
      <c r="A51"/>
      <c r="B51" s="57" t="s">
        <v>216</v>
      </c>
      <c r="C51" s="31"/>
      <c r="D51"/>
      <c r="E51" s="28"/>
      <c r="F51" s="28"/>
      <c r="G51" s="15"/>
      <c r="H51" s="19"/>
      <c r="I51" s="20"/>
      <c r="J51"/>
    </row>
    <row r="52" spans="1:10" x14ac:dyDescent="0.25">
      <c r="A52"/>
      <c r="B52" s="13" t="s">
        <v>93</v>
      </c>
      <c r="C52" s="31"/>
      <c r="D52"/>
      <c r="E52" s="28"/>
      <c r="F52" s="28"/>
      <c r="G52" s="15"/>
      <c r="H52" s="19"/>
      <c r="I52" s="20"/>
      <c r="J52"/>
    </row>
    <row r="53" spans="1:10" x14ac:dyDescent="0.25">
      <c r="A53"/>
      <c r="B53" s="13" t="s">
        <v>13</v>
      </c>
      <c r="C53" s="31"/>
      <c r="D53"/>
      <c r="E53" s="28"/>
      <c r="F53" s="28"/>
      <c r="G53" s="15"/>
      <c r="H53" s="19"/>
      <c r="I53" s="20"/>
      <c r="J53"/>
    </row>
    <row r="54" spans="1:10" x14ac:dyDescent="0.25">
      <c r="A54"/>
      <c r="B54" s="18"/>
      <c r="C54" s="79"/>
      <c r="D54" s="16"/>
      <c r="E54" s="16"/>
      <c r="F54" s="16"/>
      <c r="G54" s="17"/>
      <c r="H54" s="19"/>
      <c r="I54" s="20">
        <f>IF(I47=FALSE,10,0)</f>
        <v>0</v>
      </c>
      <c r="J54"/>
    </row>
    <row r="55" spans="1:10" x14ac:dyDescent="0.25">
      <c r="A55"/>
      <c r="B55"/>
      <c r="C55"/>
      <c r="D55"/>
      <c r="E55"/>
      <c r="F55"/>
      <c r="G55"/>
      <c r="H55" s="19"/>
      <c r="I55" s="20"/>
      <c r="J55"/>
    </row>
    <row r="56" spans="1:10" x14ac:dyDescent="0.25">
      <c r="A56"/>
      <c r="B56" s="21" t="s">
        <v>181</v>
      </c>
      <c r="C56"/>
      <c r="D56"/>
      <c r="E56"/>
      <c r="F56"/>
      <c r="G56"/>
      <c r="H56" s="19"/>
      <c r="I56" s="20"/>
      <c r="J56"/>
    </row>
    <row r="57" spans="1:10" x14ac:dyDescent="0.25">
      <c r="A57"/>
      <c r="B57" s="83" t="s">
        <v>207</v>
      </c>
      <c r="C57" s="86" t="s">
        <v>81</v>
      </c>
      <c r="D57" s="11"/>
      <c r="E57" s="86" t="s">
        <v>199</v>
      </c>
      <c r="F57" s="11"/>
      <c r="G57" s="59"/>
      <c r="H57" s="19"/>
      <c r="I57" s="20"/>
      <c r="J57"/>
    </row>
    <row r="58" spans="1:10" x14ac:dyDescent="0.25">
      <c r="A58"/>
      <c r="B58" s="89"/>
      <c r="C58" s="87"/>
      <c r="D58" s="87"/>
      <c r="E58" s="87"/>
      <c r="F58" s="87"/>
      <c r="G58" s="15"/>
      <c r="H58" s="19"/>
      <c r="I58" s="20"/>
      <c r="J58"/>
    </row>
    <row r="59" spans="1:10" x14ac:dyDescent="0.25">
      <c r="A59"/>
      <c r="B59" s="89"/>
      <c r="C59" s="87"/>
      <c r="D59" s="87"/>
      <c r="E59" s="87"/>
      <c r="F59" s="87"/>
      <c r="G59" s="15"/>
      <c r="H59" s="19"/>
      <c r="I59" s="20"/>
      <c r="J59"/>
    </row>
    <row r="60" spans="1:10" x14ac:dyDescent="0.25">
      <c r="A60"/>
      <c r="B60" s="89"/>
      <c r="C60" s="87"/>
      <c r="D60" s="87"/>
      <c r="E60" s="87"/>
      <c r="F60" s="87"/>
      <c r="G60" s="15"/>
      <c r="H60" s="19"/>
      <c r="I60" s="20"/>
      <c r="J60"/>
    </row>
    <row r="61" spans="1:10" x14ac:dyDescent="0.25">
      <c r="A61"/>
      <c r="B61" s="90"/>
      <c r="C61" s="88"/>
      <c r="D61" s="88"/>
      <c r="E61" s="88"/>
      <c r="F61" s="88"/>
      <c r="G61" s="17"/>
      <c r="H61" s="19"/>
      <c r="I61" s="20"/>
      <c r="J61"/>
    </row>
    <row r="62" spans="1:10" x14ac:dyDescent="0.25">
      <c r="A62"/>
      <c r="B62"/>
      <c r="C62"/>
      <c r="D62"/>
      <c r="E62"/>
      <c r="F62"/>
      <c r="G62"/>
      <c r="H62"/>
      <c r="I62" s="20"/>
      <c r="J62"/>
    </row>
    <row r="63" spans="1:10" x14ac:dyDescent="0.25">
      <c r="A63"/>
      <c r="B63" s="21" t="s">
        <v>200</v>
      </c>
      <c r="C63"/>
      <c r="D63"/>
      <c r="E63"/>
      <c r="F63"/>
      <c r="G63"/>
      <c r="H63"/>
      <c r="I63" s="20"/>
      <c r="J63"/>
    </row>
    <row r="64" spans="1:10" s="97" customFormat="1" x14ac:dyDescent="0.25">
      <c r="A64" s="67"/>
      <c r="B64" s="72"/>
      <c r="C64" s="95" t="s">
        <v>188</v>
      </c>
      <c r="D64" s="62"/>
      <c r="E64" s="95" t="s">
        <v>190</v>
      </c>
      <c r="F64" s="95" t="s">
        <v>191</v>
      </c>
      <c r="G64" s="33"/>
      <c r="H64" s="96"/>
      <c r="I64" s="96"/>
      <c r="J64" s="67"/>
    </row>
    <row r="65" spans="1:10" s="93" customFormat="1" x14ac:dyDescent="0.25">
      <c r="A65" s="14"/>
      <c r="B65" s="13" t="s">
        <v>189</v>
      </c>
      <c r="C65" s="94"/>
      <c r="D65" s="87"/>
      <c r="E65" s="94"/>
      <c r="F65" s="94"/>
      <c r="G65" s="34"/>
      <c r="H65" s="92"/>
      <c r="I65" s="92"/>
      <c r="J65" s="14"/>
    </row>
    <row r="66" spans="1:10" s="93" customFormat="1" x14ac:dyDescent="0.25">
      <c r="A66" s="14"/>
      <c r="B66" s="91"/>
      <c r="C66" s="104"/>
      <c r="D66" s="14"/>
      <c r="E66" s="104"/>
      <c r="F66" s="104"/>
      <c r="G66" s="34"/>
      <c r="H66" s="92"/>
      <c r="I66" s="92"/>
      <c r="J66" s="14"/>
    </row>
    <row r="67" spans="1:10" s="93" customFormat="1" x14ac:dyDescent="0.25">
      <c r="A67" s="14"/>
      <c r="B67" s="68" t="s">
        <v>141</v>
      </c>
      <c r="C67" s="104"/>
      <c r="D67" s="14"/>
      <c r="E67" s="104"/>
      <c r="F67" s="104"/>
      <c r="G67" s="34"/>
      <c r="H67" s="92"/>
      <c r="I67" s="92"/>
      <c r="J67" s="14"/>
    </row>
    <row r="68" spans="1:10" x14ac:dyDescent="0.25">
      <c r="A68"/>
      <c r="B68" s="13" t="s">
        <v>2</v>
      </c>
      <c r="C68" s="27"/>
      <c r="D68" s="87"/>
      <c r="E68" s="27"/>
      <c r="F68" s="27"/>
      <c r="G68" s="34"/>
      <c r="H68" s="19"/>
      <c r="I68" s="20"/>
      <c r="J68"/>
    </row>
    <row r="69" spans="1:10" x14ac:dyDescent="0.25">
      <c r="A69"/>
      <c r="B69" s="13" t="s">
        <v>3</v>
      </c>
      <c r="C69" s="27"/>
      <c r="D69" s="87"/>
      <c r="E69" s="27"/>
      <c r="F69" s="27"/>
      <c r="G69" s="34"/>
      <c r="H69" s="19"/>
      <c r="I69" s="20"/>
      <c r="J69"/>
    </row>
    <row r="70" spans="1:10" x14ac:dyDescent="0.25">
      <c r="A70"/>
      <c r="B70" s="13" t="s">
        <v>4</v>
      </c>
      <c r="C70" s="30"/>
      <c r="D70" s="87"/>
      <c r="E70" s="30"/>
      <c r="F70" s="30"/>
      <c r="G70" s="34"/>
      <c r="H70" s="19"/>
      <c r="I70" s="20"/>
      <c r="J70"/>
    </row>
    <row r="71" spans="1:10" x14ac:dyDescent="0.25">
      <c r="A71"/>
      <c r="B71" s="13" t="s">
        <v>5</v>
      </c>
      <c r="C71" s="27"/>
      <c r="D71" s="87"/>
      <c r="E71" s="27"/>
      <c r="F71" s="27"/>
      <c r="G71" s="34"/>
      <c r="H71" s="19"/>
      <c r="I71" s="20"/>
      <c r="J71"/>
    </row>
    <row r="72" spans="1:10" x14ac:dyDescent="0.25">
      <c r="A72"/>
      <c r="B72" s="13" t="s">
        <v>7</v>
      </c>
      <c r="C72" s="27"/>
      <c r="D72" s="87"/>
      <c r="E72" s="27"/>
      <c r="F72" s="27"/>
      <c r="G72" s="34"/>
      <c r="H72" s="19"/>
      <c r="I72" s="20"/>
      <c r="J72"/>
    </row>
    <row r="73" spans="1:10" x14ac:dyDescent="0.25">
      <c r="A73"/>
      <c r="B73" s="13" t="s">
        <v>104</v>
      </c>
      <c r="C73" s="27"/>
      <c r="D73" s="87"/>
      <c r="E73" s="27"/>
      <c r="F73" s="27"/>
      <c r="G73" s="34"/>
      <c r="H73" s="19"/>
      <c r="I73" s="20"/>
      <c r="J73"/>
    </row>
    <row r="74" spans="1:10" x14ac:dyDescent="0.25">
      <c r="A74"/>
      <c r="B74" s="13" t="s">
        <v>96</v>
      </c>
      <c r="C74" s="27"/>
      <c r="D74" s="87"/>
      <c r="E74" s="27"/>
      <c r="F74" s="27"/>
      <c r="G74" s="34"/>
      <c r="H74" s="19"/>
      <c r="I74" s="20"/>
      <c r="J74"/>
    </row>
    <row r="75" spans="1:10" x14ac:dyDescent="0.25">
      <c r="A75"/>
      <c r="B75" s="13" t="s">
        <v>105</v>
      </c>
      <c r="C75" s="27"/>
      <c r="D75" s="87"/>
      <c r="E75" s="27"/>
      <c r="F75" s="27"/>
      <c r="G75" s="34"/>
      <c r="H75" s="19"/>
      <c r="I75" s="20"/>
      <c r="J75"/>
    </row>
    <row r="76" spans="1:10" x14ac:dyDescent="0.25">
      <c r="A76"/>
      <c r="B76" s="13"/>
      <c r="C76" s="28"/>
      <c r="D76"/>
      <c r="E76" s="28"/>
      <c r="F76" s="28"/>
      <c r="G76" s="34"/>
      <c r="H76" s="19"/>
      <c r="I76" s="20"/>
      <c r="J76"/>
    </row>
    <row r="77" spans="1:10" x14ac:dyDescent="0.25">
      <c r="A77"/>
      <c r="B77" s="58" t="s">
        <v>8</v>
      </c>
      <c r="C77" s="28"/>
      <c r="D77"/>
      <c r="E77" s="28"/>
      <c r="F77" s="28"/>
      <c r="G77" s="34"/>
      <c r="H77" s="19"/>
      <c r="I77" s="20"/>
      <c r="J77"/>
    </row>
    <row r="78" spans="1:10" x14ac:dyDescent="0.25">
      <c r="A78"/>
      <c r="B78" s="57" t="s">
        <v>94</v>
      </c>
      <c r="C78" s="27"/>
      <c r="D78" s="87"/>
      <c r="E78" s="27"/>
      <c r="F78" s="27"/>
      <c r="G78" s="34"/>
      <c r="H78" s="19"/>
      <c r="I78" s="20"/>
      <c r="J78"/>
    </row>
    <row r="79" spans="1:10" x14ac:dyDescent="0.25">
      <c r="A79"/>
      <c r="B79" s="57" t="s">
        <v>95</v>
      </c>
      <c r="C79" s="27"/>
      <c r="D79" s="87"/>
      <c r="E79" s="27"/>
      <c r="F79" s="27"/>
      <c r="G79" s="34"/>
      <c r="H79" s="19"/>
      <c r="I79" s="20"/>
      <c r="J79"/>
    </row>
    <row r="80" spans="1:10" x14ac:dyDescent="0.25">
      <c r="A80"/>
      <c r="B80" s="57" t="s">
        <v>138</v>
      </c>
      <c r="C80" s="27"/>
      <c r="D80" s="87"/>
      <c r="E80" s="27"/>
      <c r="F80" s="27"/>
      <c r="G80" s="34"/>
      <c r="H80" s="19"/>
      <c r="I80" s="20"/>
      <c r="J80"/>
    </row>
    <row r="81" spans="1:10" x14ac:dyDescent="0.25">
      <c r="A81"/>
      <c r="B81" s="57" t="s">
        <v>6</v>
      </c>
      <c r="C81" s="27"/>
      <c r="D81" s="87"/>
      <c r="E81" s="27"/>
      <c r="F81" s="27"/>
      <c r="G81" s="34"/>
      <c r="H81" s="19"/>
      <c r="I81" s="20"/>
      <c r="J81"/>
    </row>
    <row r="82" spans="1:10" x14ac:dyDescent="0.25">
      <c r="A82"/>
      <c r="B82" s="57"/>
      <c r="C82" s="28"/>
      <c r="D82"/>
      <c r="E82" s="28"/>
      <c r="F82" s="28"/>
      <c r="G82" s="34"/>
      <c r="H82" s="19"/>
      <c r="I82" s="20"/>
      <c r="J82"/>
    </row>
    <row r="83" spans="1:10" x14ac:dyDescent="0.25">
      <c r="A83"/>
      <c r="B83" s="68" t="s">
        <v>109</v>
      </c>
      <c r="C83" s="28"/>
      <c r="D83"/>
      <c r="E83" s="28"/>
      <c r="F83" s="28"/>
      <c r="G83" s="34"/>
      <c r="H83" s="19"/>
      <c r="I83" s="20"/>
      <c r="J83"/>
    </row>
    <row r="84" spans="1:10" x14ac:dyDescent="0.25">
      <c r="A84"/>
      <c r="B84" s="13" t="s">
        <v>93</v>
      </c>
      <c r="C84" s="31"/>
      <c r="D84" s="87"/>
      <c r="E84" s="31"/>
      <c r="F84" s="31"/>
      <c r="G84" s="34"/>
      <c r="H84" s="19"/>
      <c r="I84" s="20"/>
      <c r="J84"/>
    </row>
    <row r="85" spans="1:10" x14ac:dyDescent="0.25">
      <c r="A85"/>
      <c r="B85" s="13" t="s">
        <v>13</v>
      </c>
      <c r="C85" s="31"/>
      <c r="D85" s="87"/>
      <c r="E85" s="31"/>
      <c r="F85" s="31"/>
      <c r="G85" s="34"/>
      <c r="H85" s="19"/>
      <c r="I85" s="20"/>
      <c r="J85"/>
    </row>
    <row r="86" spans="1:10" x14ac:dyDescent="0.25">
      <c r="A86"/>
      <c r="B86" s="18"/>
      <c r="C86" s="80"/>
      <c r="D86" s="16"/>
      <c r="E86" s="16"/>
      <c r="F86" s="16"/>
      <c r="G86" s="40"/>
      <c r="H86" s="19" t="b">
        <v>0</v>
      </c>
      <c r="I86" s="20" t="str">
        <f t="shared" ref="I86" si="0">IF(C86&gt;=25%,"TRUE","")</f>
        <v/>
      </c>
      <c r="J86"/>
    </row>
    <row r="87" spans="1:10" x14ac:dyDescent="0.25">
      <c r="A87"/>
      <c r="B87"/>
      <c r="C87"/>
      <c r="D87"/>
      <c r="E87"/>
      <c r="F87"/>
      <c r="G87"/>
      <c r="H87" s="19"/>
      <c r="I87" s="20"/>
      <c r="J87"/>
    </row>
    <row r="88" spans="1:10" x14ac:dyDescent="0.25">
      <c r="A88"/>
      <c r="B88" s="21" t="s">
        <v>201</v>
      </c>
      <c r="C88"/>
      <c r="D88"/>
      <c r="E88"/>
      <c r="F88"/>
      <c r="G88"/>
      <c r="H88"/>
      <c r="I88" s="20"/>
      <c r="J88"/>
    </row>
    <row r="89" spans="1:10" x14ac:dyDescent="0.25">
      <c r="A89"/>
      <c r="B89" s="61"/>
      <c r="C89" s="95" t="s">
        <v>188</v>
      </c>
      <c r="D89" s="62"/>
      <c r="E89" s="95" t="s">
        <v>190</v>
      </c>
      <c r="F89" s="95" t="s">
        <v>191</v>
      </c>
      <c r="G89" s="69"/>
      <c r="H89" s="19"/>
      <c r="I89" s="20"/>
      <c r="J89"/>
    </row>
    <row r="90" spans="1:10" x14ac:dyDescent="0.25">
      <c r="A90"/>
      <c r="B90" s="13" t="s">
        <v>110</v>
      </c>
      <c r="C90" s="31"/>
      <c r="D90" s="27"/>
      <c r="E90" s="31"/>
      <c r="F90" s="31"/>
      <c r="G90" s="43"/>
      <c r="H90" s="19"/>
      <c r="I90" s="20"/>
      <c r="J90"/>
    </row>
    <row r="91" spans="1:10" x14ac:dyDescent="0.25">
      <c r="A91"/>
      <c r="B91" s="13" t="s">
        <v>114</v>
      </c>
      <c r="C91" s="31"/>
      <c r="D91" s="27"/>
      <c r="E91" s="31"/>
      <c r="F91" s="31"/>
      <c r="G91" s="43"/>
      <c r="H91" s="19"/>
      <c r="I91" s="20"/>
      <c r="J91"/>
    </row>
    <row r="92" spans="1:10" x14ac:dyDescent="0.25">
      <c r="A92"/>
      <c r="B92" s="13" t="s">
        <v>118</v>
      </c>
      <c r="C92" s="30"/>
      <c r="D92" s="27"/>
      <c r="E92" s="30"/>
      <c r="F92" s="30"/>
      <c r="G92" s="43"/>
      <c r="H92" s="19"/>
      <c r="I92" s="20"/>
      <c r="J92"/>
    </row>
    <row r="93" spans="1:10" x14ac:dyDescent="0.25">
      <c r="A93"/>
      <c r="B93" s="13" t="s">
        <v>119</v>
      </c>
      <c r="C93" s="30"/>
      <c r="D93" s="27"/>
      <c r="E93" s="30"/>
      <c r="F93" s="30"/>
      <c r="G93" s="43"/>
      <c r="H93" s="19"/>
      <c r="I93" s="20"/>
      <c r="J93"/>
    </row>
    <row r="94" spans="1:10" x14ac:dyDescent="0.25">
      <c r="A94"/>
      <c r="B94" s="13" t="s">
        <v>120</v>
      </c>
      <c r="C94" s="27"/>
      <c r="D94" s="27"/>
      <c r="E94" s="27"/>
      <c r="F94" s="27"/>
      <c r="G94" s="43"/>
      <c r="H94" s="19"/>
      <c r="I94" s="20"/>
      <c r="J94"/>
    </row>
    <row r="95" spans="1:10" x14ac:dyDescent="0.25">
      <c r="A95"/>
      <c r="B95" s="18"/>
      <c r="C95" s="16"/>
      <c r="D95" s="32"/>
      <c r="E95" s="32"/>
      <c r="F95" s="32"/>
      <c r="G95" s="40"/>
      <c r="H95" s="19"/>
      <c r="I95" s="20"/>
      <c r="J95"/>
    </row>
    <row r="96" spans="1:10" x14ac:dyDescent="0.25">
      <c r="A96"/>
      <c r="B96"/>
      <c r="C96"/>
      <c r="D96"/>
      <c r="E96"/>
      <c r="F96"/>
      <c r="G96"/>
      <c r="H96" s="19"/>
      <c r="I96" s="20"/>
      <c r="J96"/>
    </row>
    <row r="97" spans="1:10" x14ac:dyDescent="0.25">
      <c r="A97"/>
      <c r="B97" s="21" t="s">
        <v>84</v>
      </c>
      <c r="C97"/>
      <c r="D97"/>
      <c r="E97"/>
      <c r="F97"/>
      <c r="G97"/>
      <c r="H97" s="19"/>
      <c r="I97" s="20"/>
      <c r="J97"/>
    </row>
    <row r="98" spans="1:10" x14ac:dyDescent="0.25">
      <c r="A98"/>
      <c r="B98" s="120" t="s">
        <v>121</v>
      </c>
      <c r="C98" s="122"/>
      <c r="D98" s="11"/>
      <c r="E98" s="11" t="s">
        <v>151</v>
      </c>
      <c r="F98" s="29"/>
      <c r="G98" s="33"/>
      <c r="H98" s="19"/>
      <c r="I98" s="20"/>
      <c r="J98"/>
    </row>
    <row r="99" spans="1:10" x14ac:dyDescent="0.25">
      <c r="A99"/>
      <c r="B99" s="121"/>
      <c r="C99" s="123"/>
      <c r="D99"/>
      <c r="E99" s="70"/>
      <c r="F99" s="27"/>
      <c r="G99" s="34"/>
      <c r="H99" s="19"/>
      <c r="I99" s="38">
        <f>SUM(I37:I95)</f>
        <v>0</v>
      </c>
      <c r="J99"/>
    </row>
    <row r="100" spans="1:10" x14ac:dyDescent="0.25">
      <c r="A100"/>
      <c r="B100" s="18"/>
      <c r="C100" s="16"/>
      <c r="D100" s="16"/>
      <c r="E100" s="16"/>
      <c r="F100" s="16"/>
      <c r="G100" s="17"/>
      <c r="H100" s="19"/>
      <c r="I100" s="9"/>
      <c r="J100"/>
    </row>
    <row r="101" spans="1:10" x14ac:dyDescent="0.25">
      <c r="A101"/>
      <c r="B101"/>
      <c r="C101"/>
      <c r="D101"/>
      <c r="E101"/>
      <c r="F101"/>
      <c r="G101"/>
      <c r="H101" s="19"/>
      <c r="I101" s="9"/>
      <c r="J101"/>
    </row>
    <row r="102" spans="1:10" x14ac:dyDescent="0.25">
      <c r="A102"/>
      <c r="B102" t="s">
        <v>106</v>
      </c>
      <c r="C102" s="30"/>
      <c r="D102"/>
      <c r="E102" t="s">
        <v>124</v>
      </c>
      <c r="F102"/>
      <c r="G102"/>
      <c r="H102" s="19"/>
      <c r="I102" s="9"/>
      <c r="J102"/>
    </row>
    <row r="103" spans="1:10" x14ac:dyDescent="0.25">
      <c r="A103"/>
      <c r="B103" t="s">
        <v>123</v>
      </c>
      <c r="C103" s="27"/>
      <c r="D103"/>
      <c r="E103"/>
      <c r="F103" s="9"/>
      <c r="G103"/>
      <c r="H103" s="19"/>
      <c r="I103" s="9"/>
      <c r="J103"/>
    </row>
    <row r="104" spans="1:10" x14ac:dyDescent="0.25">
      <c r="A104"/>
      <c r="B104" s="71" t="s">
        <v>122</v>
      </c>
      <c r="C104" s="27"/>
      <c r="D104"/>
      <c r="E104"/>
      <c r="F104"/>
      <c r="G104"/>
      <c r="H104" s="19"/>
      <c r="I104" s="9"/>
      <c r="J104"/>
    </row>
    <row r="105" spans="1:10" x14ac:dyDescent="0.25">
      <c r="A105"/>
      <c r="B105"/>
      <c r="C105"/>
      <c r="D105"/>
      <c r="E105"/>
      <c r="F105"/>
      <c r="G105"/>
      <c r="H105" s="19"/>
      <c r="I105" s="20"/>
      <c r="J105"/>
    </row>
    <row r="106" spans="1:10" x14ac:dyDescent="0.25">
      <c r="A106"/>
      <c r="B106"/>
      <c r="C106"/>
      <c r="D106"/>
      <c r="E106"/>
      <c r="F106"/>
      <c r="G106"/>
      <c r="H106" s="19"/>
      <c r="I106" s="20"/>
      <c r="J106"/>
    </row>
    <row r="107" spans="1:10" x14ac:dyDescent="0.25">
      <c r="A107"/>
      <c r="B107"/>
      <c r="C107"/>
      <c r="D107"/>
      <c r="E107"/>
      <c r="F107"/>
      <c r="G107"/>
      <c r="H107" s="19"/>
      <c r="I107" s="20"/>
      <c r="J107"/>
    </row>
    <row r="312" spans="8:8" x14ac:dyDescent="0.25">
      <c r="H312" s="45" t="b">
        <v>0</v>
      </c>
    </row>
  </sheetData>
  <protectedRanges>
    <protectedRange sqref="C13:C17 F6:F8 F10:F12 C7:C10" name="PP_4"/>
    <protectedRange sqref="C45:C48 F45:F48" name="PP_5"/>
    <protectedRange sqref="C51:C53" name="PP_7"/>
    <protectedRange sqref="C78:C81 C84:C85 C68:C74 C65 E78:F81 E84:F85 E68:F74 E65:F65" name="PP_8"/>
    <protectedRange sqref="C90:C94 E90:F94" name="PP_9"/>
    <protectedRange sqref="C98 C102:C104 F98:G99" name="PP_10"/>
    <protectedRange sqref="C21:C27 C30:C34 F21 F24:F29 F31:F34" name="PP_1"/>
  </protectedRanges>
  <dataConsolidate/>
  <mergeCells count="2">
    <mergeCell ref="B98:B99"/>
    <mergeCell ref="C98:C99"/>
  </mergeCells>
  <conditionalFormatting sqref="F6:F8">
    <cfRule type="expression" dxfId="80" priority="38">
      <formula>$H6="TRUE"</formula>
    </cfRule>
  </conditionalFormatting>
  <conditionalFormatting sqref="B64:C67 B86:C86">
    <cfRule type="expression" dxfId="79" priority="23">
      <formula>$H64=TRUE</formula>
    </cfRule>
  </conditionalFormatting>
  <conditionalFormatting sqref="D64 D86:F86 D66:D85">
    <cfRule type="expression" dxfId="78" priority="22">
      <formula>$I64="TRUE"</formula>
    </cfRule>
  </conditionalFormatting>
  <conditionalFormatting sqref="F10:F12">
    <cfRule type="expression" dxfId="77" priority="18">
      <formula>$H10="TRUE"</formula>
    </cfRule>
  </conditionalFormatting>
  <conditionalFormatting sqref="E64:F67">
    <cfRule type="expression" dxfId="76" priority="16">
      <formula>$H64=TRUE</formula>
    </cfRule>
  </conditionalFormatting>
  <conditionalFormatting sqref="D65">
    <cfRule type="expression" dxfId="75" priority="50">
      <formula>#REF!="TRUE"</formula>
    </cfRule>
  </conditionalFormatting>
  <conditionalFormatting sqref="G89:G94">
    <cfRule type="containsText" dxfId="74" priority="14" operator="containsText" text="Relation d'affaire en suspend">
      <formula>NOT(ISERROR(SEARCH("Relation d'affaire en suspend",G89)))</formula>
    </cfRule>
    <cfRule type="containsText" dxfId="73" priority="15" operator="containsText" text="Prière de dater et signer la copie du document d'identité obtenue">
      <formula>NOT(ISERROR(SEARCH("Prière de dater et signer la copie du document d'identité obtenue",G89)))</formula>
    </cfRule>
  </conditionalFormatting>
  <conditionalFormatting sqref="C89">
    <cfRule type="expression" dxfId="72" priority="13">
      <formula>$H89=TRUE</formula>
    </cfRule>
  </conditionalFormatting>
  <conditionalFormatting sqref="D89">
    <cfRule type="expression" dxfId="71" priority="12">
      <formula>$I89="TRUE"</formula>
    </cfRule>
  </conditionalFormatting>
  <conditionalFormatting sqref="E89:F89">
    <cfRule type="expression" dxfId="70" priority="11">
      <formula>$H89=TRUE</formula>
    </cfRule>
  </conditionalFormatting>
  <conditionalFormatting sqref="C98">
    <cfRule type="containsText" dxfId="69" priority="8" operator="containsText" text="Risque faible">
      <formula>NOT(ISERROR(SEARCH("Risque faible",C98)))</formula>
    </cfRule>
    <cfRule type="containsText" dxfId="68" priority="9" operator="containsText" text="Risque élevé">
      <formula>NOT(ISERROR(SEARCH("Risque élevé",C98)))</formula>
    </cfRule>
    <cfRule type="containsText" dxfId="67" priority="10" operator="containsText" text="Risque moyen">
      <formula>NOT(ISERROR(SEARCH("Risque moyen",C98)))</formula>
    </cfRule>
  </conditionalFormatting>
  <conditionalFormatting sqref="F26:F27 F29">
    <cfRule type="expression" dxfId="66" priority="3">
      <formula>$H26="TRUE"</formula>
    </cfRule>
  </conditionalFormatting>
  <conditionalFormatting sqref="F25:F29">
    <cfRule type="expression" dxfId="65" priority="4">
      <formula>#REF!="TRUE"</formula>
    </cfRule>
  </conditionalFormatting>
  <conditionalFormatting sqref="F31:F33">
    <cfRule type="expression" dxfId="64" priority="5">
      <formula>$H26="TRUE"</formula>
    </cfRule>
  </conditionalFormatting>
  <conditionalFormatting sqref="F25 F28">
    <cfRule type="expression" dxfId="63" priority="6">
      <formula>$H26="TRUE"</formula>
    </cfRule>
  </conditionalFormatting>
  <conditionalFormatting sqref="F28">
    <cfRule type="expression" dxfId="62" priority="7">
      <formula>$H27="TRUE"</formula>
    </cfRule>
  </conditionalFormatting>
  <conditionalFormatting sqref="F34">
    <cfRule type="expression" dxfId="61" priority="1">
      <formula>$H34="TRUE"</formula>
    </cfRule>
  </conditionalFormatting>
  <conditionalFormatting sqref="F34">
    <cfRule type="expression" dxfId="60" priority="2">
      <formula>#REF!="TRUE"</formula>
    </cfRule>
  </conditionalFormatting>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Impression">
                <anchor moveWithCells="1" sizeWithCells="1">
                  <from>
                    <xdr:col>0</xdr:col>
                    <xdr:colOff>228600</xdr:colOff>
                    <xdr:row>105</xdr:row>
                    <xdr:rowOff>19050</xdr:rowOff>
                  </from>
                  <to>
                    <xdr:col>2</xdr:col>
                    <xdr:colOff>0</xdr:colOff>
                    <xdr:row>107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77FD629E-FC05-4482-AF43-59AB1C7F828C}">
          <x14:formula1>
            <xm:f>Options!$C$19:$C$21</xm:f>
          </x14:formula1>
          <xm:sqref>C98</xm:sqref>
        </x14:dataValidation>
        <x14:dataValidation type="list" allowBlank="1" showInputMessage="1" showErrorMessage="1" xr:uid="{D018B479-215B-4C2D-BF0D-46205F2CCE28}">
          <x14:formula1>
            <xm:f>Options!$F$11:$F$16</xm:f>
          </x14:formula1>
          <xm:sqref>C8</xm:sqref>
        </x14:dataValidation>
        <x14:dataValidation type="list" allowBlank="1" showInputMessage="1" showErrorMessage="1" xr:uid="{FE605907-EB83-470E-8945-437EDA726A8C}">
          <x14:formula1>
            <xm:f>Options!$B$24:$B$28</xm:f>
          </x14:formula1>
          <xm:sqref>C25 C29 F24</xm:sqref>
        </x14:dataValidation>
        <x14:dataValidation type="list" showInputMessage="1" showErrorMessage="1" xr:uid="{D6B269B6-2F4B-43FD-A2B5-39861AE61D22}">
          <x14:formula1>
            <xm:f>Options!$J$5:$J$12</xm:f>
          </x14:formula1>
          <xm:sqref>C7</xm:sqref>
        </x14:dataValidation>
        <x14:dataValidation type="list" allowBlank="1" showInputMessage="1" showErrorMessage="1" xr:uid="{BDA24449-A2B0-4E09-AD2E-E4ADD866D125}">
          <x14:formula1>
            <xm:f>Options!$M$5:$M$8</xm:f>
          </x14:formula1>
          <xm:sqref>C27 F28</xm:sqref>
        </x14:dataValidation>
        <x14:dataValidation type="list" allowBlank="1" showInputMessage="1" showErrorMessage="1" xr:uid="{9E60B41A-502B-493F-902E-441250F936AE}">
          <x14:formula1>
            <xm:f>Options!$I$16:$I$20</xm:f>
          </x14:formula1>
          <xm:sqref>C26 F25</xm:sqref>
        </x14:dataValidation>
        <x14:dataValidation type="list" allowBlank="1" showInputMessage="1" showErrorMessage="1" xr:uid="{D3DEADFF-1357-4FAD-A7F7-CED8FC8C7000}">
          <x14:formula1>
            <xm:f>Options!$M$13:$M$16</xm:f>
          </x14:formula1>
          <xm:sqref>C58:C61</xm:sqref>
        </x14:dataValidation>
        <x14:dataValidation type="list" allowBlank="1" showInputMessage="1" showErrorMessage="1" xr:uid="{D9D9D5DE-27E6-4233-9325-0D81CDF233EA}">
          <x14:formula1>
            <xm:f>Options!$F$5:$F$6</xm:f>
          </x14:formula1>
          <xm:sqref>E94:F94 C94</xm:sqref>
        </x14:dataValidation>
        <x14:dataValidation type="list" allowBlank="1" showInputMessage="1" showErrorMessage="1" xr:uid="{71725689-7EA0-4434-9F20-3DA58A935F9F}">
          <x14:formula1>
            <xm:f>Options!$E$36:$E$38</xm:f>
          </x14:formula1>
          <xm:sqref>C91 E91:F91</xm:sqref>
        </x14:dataValidation>
        <x14:dataValidation type="list" allowBlank="1" showInputMessage="1" showErrorMessage="1" xr:uid="{6911C6FE-148B-4D21-96CB-F014844CC9DC}">
          <x14:formula1>
            <xm:f>Options!$E$32:$E$33</xm:f>
          </x14:formula1>
          <xm:sqref>C90 E90:F90</xm:sqref>
        </x14:dataValidation>
        <x14:dataValidation type="list" showInputMessage="1" showErrorMessage="1" xr:uid="{7CB64E17-7C02-4E5E-B9E0-548A76743CBB}">
          <x14:formula1>
            <xm:f>Options!$C$5:$C$8</xm:f>
          </x14:formula1>
          <xm:sqref>C75 E75:F75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16D9F-624E-4BC3-AC5E-ADF390EC0BBF}">
  <sheetPr codeName="Sheet8">
    <tabColor rgb="FF0070C0"/>
  </sheetPr>
  <dimension ref="A1:R306"/>
  <sheetViews>
    <sheetView showGridLines="0" zoomScale="85" zoomScaleNormal="85" zoomScaleSheetLayoutView="100" workbookViewId="0">
      <selection activeCell="N13" sqref="N13"/>
    </sheetView>
  </sheetViews>
  <sheetFormatPr defaultColWidth="9.140625" defaultRowHeight="15" x14ac:dyDescent="0.25"/>
  <cols>
    <col min="1" max="1" width="3.5703125" style="12" customWidth="1"/>
    <col min="2" max="2" width="46.140625" style="12" customWidth="1"/>
    <col min="3" max="3" width="37" style="12" customWidth="1"/>
    <col min="4" max="4" width="2.7109375" style="12" customWidth="1"/>
    <col min="5" max="5" width="29.28515625" style="12" customWidth="1"/>
    <col min="6" max="6" width="29.140625" style="12" customWidth="1"/>
    <col min="7" max="7" width="19.85546875" style="12" customWidth="1"/>
    <col min="8" max="8" width="7.42578125" style="45" hidden="1" customWidth="1"/>
    <col min="9" max="9" width="9.42578125" style="46" hidden="1" customWidth="1"/>
    <col min="10" max="10" width="9.4257812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178</v>
      </c>
      <c r="C2" s="53"/>
      <c r="D2" s="53"/>
      <c r="E2" s="53"/>
      <c r="F2" s="53"/>
      <c r="G2" s="56" t="s">
        <v>153</v>
      </c>
      <c r="H2" s="22"/>
      <c r="I2" s="23"/>
      <c r="J2" s="21"/>
    </row>
    <row r="3" spans="1:18" s="24" customFormat="1" ht="15.75" x14ac:dyDescent="0.25">
      <c r="A3" s="21"/>
      <c r="B3" s="25"/>
      <c r="C3" s="21"/>
      <c r="D3" s="21"/>
      <c r="E3" s="21"/>
      <c r="F3" s="21"/>
      <c r="G3" s="54"/>
      <c r="H3" s="22"/>
      <c r="I3" s="23"/>
      <c r="J3" s="21"/>
    </row>
    <row r="4" spans="1:18" s="24" customFormat="1" ht="15.75" x14ac:dyDescent="0.25">
      <c r="A4" s="21"/>
      <c r="B4" s="78"/>
      <c r="C4" s="53"/>
      <c r="D4" s="53"/>
      <c r="E4" s="53"/>
      <c r="F4" s="53"/>
      <c r="G4" s="55"/>
      <c r="H4" s="22"/>
      <c r="I4" s="23"/>
      <c r="J4" s="21"/>
    </row>
    <row r="5" spans="1:18" s="24" customFormat="1" x14ac:dyDescent="0.25">
      <c r="A5"/>
      <c r="B5" s="21" t="s">
        <v>128</v>
      </c>
      <c r="C5"/>
      <c r="D5"/>
      <c r="E5"/>
      <c r="F5"/>
      <c r="G5"/>
      <c r="H5" s="22"/>
      <c r="I5" s="23"/>
      <c r="J5" s="21"/>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s="24" customFormat="1" ht="15.75" x14ac:dyDescent="0.25">
      <c r="A30" s="21"/>
      <c r="B30" s="78"/>
      <c r="C30" s="53"/>
      <c r="D30" s="53"/>
      <c r="E30" s="53"/>
      <c r="F30" s="53"/>
      <c r="G30"/>
      <c r="H30" s="22"/>
      <c r="I30" s="23"/>
      <c r="J30" s="21"/>
    </row>
    <row r="31" spans="1:10" x14ac:dyDescent="0.25">
      <c r="A31"/>
      <c r="B31" s="21" t="s">
        <v>198</v>
      </c>
      <c r="C31"/>
      <c r="D31"/>
      <c r="E31"/>
      <c r="F31"/>
      <c r="G31"/>
      <c r="H31" s="19"/>
      <c r="I31" s="20"/>
      <c r="J31"/>
    </row>
    <row r="32" spans="1:10" x14ac:dyDescent="0.25">
      <c r="A32"/>
      <c r="B32" s="10" t="s">
        <v>168</v>
      </c>
      <c r="C32" s="29"/>
      <c r="D32" s="11"/>
      <c r="E32" s="11"/>
      <c r="F32" s="11"/>
      <c r="G32" s="59"/>
      <c r="H32" s="19"/>
      <c r="I32" s="20"/>
      <c r="J32"/>
    </row>
    <row r="33" spans="1:10" x14ac:dyDescent="0.25">
      <c r="A33"/>
      <c r="B33" s="13" t="s">
        <v>80</v>
      </c>
      <c r="C33" s="27"/>
      <c r="D33"/>
      <c r="E33"/>
      <c r="F33"/>
      <c r="G33" s="15"/>
      <c r="H33" s="19"/>
      <c r="I33" s="20"/>
      <c r="J33"/>
    </row>
    <row r="34" spans="1:10" x14ac:dyDescent="0.25">
      <c r="A34"/>
      <c r="B34" s="13" t="s">
        <v>180</v>
      </c>
      <c r="C34" s="27"/>
      <c r="D34"/>
      <c r="E34"/>
      <c r="F34"/>
      <c r="G34" s="15"/>
      <c r="H34" s="19"/>
      <c r="I34" s="20"/>
      <c r="J34"/>
    </row>
    <row r="35" spans="1:10" x14ac:dyDescent="0.25">
      <c r="A35"/>
      <c r="B35" s="13" t="s">
        <v>170</v>
      </c>
      <c r="C35" s="27"/>
      <c r="D35"/>
      <c r="E35"/>
      <c r="F35"/>
      <c r="G35" s="15"/>
      <c r="H35" s="19"/>
      <c r="I35" s="20"/>
      <c r="J35"/>
    </row>
    <row r="36" spans="1:10" x14ac:dyDescent="0.25">
      <c r="A36"/>
      <c r="B36" s="13" t="s">
        <v>171</v>
      </c>
      <c r="C36" s="27"/>
      <c r="D36" s="81"/>
      <c r="E36"/>
      <c r="F36"/>
      <c r="G36" s="15"/>
      <c r="H36" s="19"/>
      <c r="I36" s="20"/>
      <c r="J36"/>
    </row>
    <row r="37" spans="1:10" x14ac:dyDescent="0.25">
      <c r="A37"/>
      <c r="B37" s="13"/>
      <c r="C37"/>
      <c r="D37"/>
      <c r="E37"/>
      <c r="F37"/>
      <c r="G37" s="15"/>
      <c r="H37" s="19"/>
      <c r="I37" s="20"/>
      <c r="J37"/>
    </row>
    <row r="38" spans="1:10" x14ac:dyDescent="0.25">
      <c r="A38"/>
      <c r="B38" s="58" t="s">
        <v>169</v>
      </c>
      <c r="C38" s="28"/>
      <c r="D38"/>
      <c r="E38" s="64" t="s">
        <v>179</v>
      </c>
      <c r="F38" s="28"/>
      <c r="G38" s="15"/>
      <c r="H38" s="19"/>
      <c r="I38" s="20"/>
      <c r="J38"/>
    </row>
    <row r="39" spans="1:10" x14ac:dyDescent="0.25">
      <c r="A39"/>
      <c r="B39" s="57" t="s">
        <v>94</v>
      </c>
      <c r="C39" s="27"/>
      <c r="D39"/>
      <c r="E39" s="28" t="s">
        <v>94</v>
      </c>
      <c r="F39" s="27"/>
      <c r="G39" s="15"/>
      <c r="H39" s="19"/>
      <c r="I39" s="20"/>
      <c r="J39"/>
    </row>
    <row r="40" spans="1:10" x14ac:dyDescent="0.25">
      <c r="A40"/>
      <c r="B40" s="57" t="s">
        <v>95</v>
      </c>
      <c r="C40" s="27"/>
      <c r="D40"/>
      <c r="E40" s="28" t="s">
        <v>95</v>
      </c>
      <c r="F40" s="27"/>
      <c r="G40" s="15"/>
      <c r="H40" s="19"/>
      <c r="I40" s="20"/>
      <c r="J40"/>
    </row>
    <row r="41" spans="1:10" x14ac:dyDescent="0.25">
      <c r="A41"/>
      <c r="B41" s="57" t="s">
        <v>138</v>
      </c>
      <c r="C41" s="27"/>
      <c r="D41"/>
      <c r="E41" s="28" t="s">
        <v>138</v>
      </c>
      <c r="F41" s="27"/>
      <c r="G41" s="15"/>
      <c r="H41" s="19"/>
      <c r="I41" s="20" t="b">
        <f>ISERROR(VLOOKUP(C41,'Risque géographique'!$B:$B,1,FALSE))</f>
        <v>1</v>
      </c>
      <c r="J41"/>
    </row>
    <row r="42" spans="1:10" x14ac:dyDescent="0.25">
      <c r="A42"/>
      <c r="B42" s="57" t="s">
        <v>6</v>
      </c>
      <c r="C42" s="27"/>
      <c r="D42"/>
      <c r="E42" s="28" t="s">
        <v>6</v>
      </c>
      <c r="F42" s="27"/>
      <c r="G42" s="15"/>
      <c r="H42" s="19"/>
      <c r="I42" s="20"/>
      <c r="J42"/>
    </row>
    <row r="43" spans="1:10" x14ac:dyDescent="0.25">
      <c r="A43"/>
      <c r="B43" s="57"/>
      <c r="C43"/>
      <c r="D43"/>
      <c r="E43" s="28"/>
      <c r="F43" s="28"/>
      <c r="G43" s="15"/>
      <c r="H43" s="19"/>
      <c r="I43" s="20"/>
      <c r="J43"/>
    </row>
    <row r="44" spans="1:10" x14ac:dyDescent="0.25">
      <c r="A44"/>
      <c r="B44" s="68" t="s">
        <v>109</v>
      </c>
      <c r="C44" s="28"/>
      <c r="D44"/>
      <c r="E44" s="28"/>
      <c r="F44" s="28"/>
      <c r="G44" s="15"/>
      <c r="H44" s="19"/>
      <c r="I44" s="20"/>
      <c r="J44"/>
    </row>
    <row r="45" spans="1:10" x14ac:dyDescent="0.25">
      <c r="A45"/>
      <c r="B45" s="57" t="s">
        <v>216</v>
      </c>
      <c r="C45" s="31"/>
      <c r="D45"/>
      <c r="E45" s="28"/>
      <c r="F45" s="28"/>
      <c r="G45" s="15"/>
      <c r="H45" s="19"/>
      <c r="I45" s="20"/>
      <c r="J45"/>
    </row>
    <row r="46" spans="1:10" x14ac:dyDescent="0.25">
      <c r="A46"/>
      <c r="B46" s="13" t="s">
        <v>93</v>
      </c>
      <c r="C46" s="31"/>
      <c r="D46"/>
      <c r="E46" s="28"/>
      <c r="F46" s="28"/>
      <c r="G46" s="15"/>
      <c r="H46" s="19"/>
      <c r="I46" s="20"/>
      <c r="J46"/>
    </row>
    <row r="47" spans="1:10" x14ac:dyDescent="0.25">
      <c r="A47"/>
      <c r="B47" s="13" t="s">
        <v>13</v>
      </c>
      <c r="C47" s="31"/>
      <c r="D47"/>
      <c r="E47" s="28"/>
      <c r="F47" s="28"/>
      <c r="G47" s="15"/>
      <c r="H47" s="19"/>
      <c r="I47" s="20"/>
      <c r="J47"/>
    </row>
    <row r="48" spans="1:10" x14ac:dyDescent="0.25">
      <c r="A48"/>
      <c r="B48" s="18"/>
      <c r="C48" s="79"/>
      <c r="D48" s="16"/>
      <c r="E48" s="16"/>
      <c r="F48" s="16"/>
      <c r="G48" s="17"/>
      <c r="H48" s="19"/>
      <c r="I48" s="20">
        <f>IF(I41=FALSE,10,0)</f>
        <v>0</v>
      </c>
      <c r="J48"/>
    </row>
    <row r="49" spans="1:10" x14ac:dyDescent="0.25">
      <c r="A49"/>
      <c r="B49"/>
      <c r="C49"/>
      <c r="D49"/>
      <c r="E49"/>
      <c r="F49"/>
      <c r="G49"/>
      <c r="H49" s="19"/>
      <c r="I49" s="20"/>
      <c r="J49"/>
    </row>
    <row r="50" spans="1:10" x14ac:dyDescent="0.25">
      <c r="A50"/>
      <c r="B50" s="21" t="s">
        <v>181</v>
      </c>
      <c r="C50"/>
      <c r="D50"/>
      <c r="E50"/>
      <c r="F50"/>
      <c r="G50"/>
      <c r="H50" s="19"/>
      <c r="I50" s="20"/>
      <c r="J50"/>
    </row>
    <row r="51" spans="1:10" x14ac:dyDescent="0.25">
      <c r="A51"/>
      <c r="B51" s="83" t="s">
        <v>207</v>
      </c>
      <c r="C51" s="86" t="s">
        <v>81</v>
      </c>
      <c r="D51" s="11"/>
      <c r="E51" s="86" t="s">
        <v>199</v>
      </c>
      <c r="F51" s="11"/>
      <c r="G51" s="59"/>
      <c r="H51" s="19"/>
      <c r="I51" s="20"/>
      <c r="J51"/>
    </row>
    <row r="52" spans="1:10" x14ac:dyDescent="0.25">
      <c r="A52"/>
      <c r="B52" s="89"/>
      <c r="C52" s="87"/>
      <c r="D52" s="87"/>
      <c r="E52" s="87"/>
      <c r="F52" s="87"/>
      <c r="G52" s="15"/>
      <c r="H52" s="19"/>
      <c r="I52" s="20"/>
      <c r="J52"/>
    </row>
    <row r="53" spans="1:10" x14ac:dyDescent="0.25">
      <c r="A53"/>
      <c r="B53" s="89"/>
      <c r="C53" s="87"/>
      <c r="D53" s="87"/>
      <c r="E53" s="87"/>
      <c r="F53" s="87"/>
      <c r="G53" s="15"/>
      <c r="H53" s="19"/>
      <c r="I53" s="20"/>
      <c r="J53"/>
    </row>
    <row r="54" spans="1:10" x14ac:dyDescent="0.25">
      <c r="A54"/>
      <c r="B54" s="89"/>
      <c r="C54" s="87"/>
      <c r="D54" s="87"/>
      <c r="E54" s="87"/>
      <c r="F54" s="87"/>
      <c r="G54" s="15"/>
      <c r="H54" s="19"/>
      <c r="I54" s="20"/>
      <c r="J54"/>
    </row>
    <row r="55" spans="1:10" x14ac:dyDescent="0.25">
      <c r="A55"/>
      <c r="B55" s="90"/>
      <c r="C55" s="88"/>
      <c r="D55" s="88"/>
      <c r="E55" s="88"/>
      <c r="F55" s="88"/>
      <c r="G55" s="17"/>
      <c r="H55" s="19"/>
      <c r="I55" s="20"/>
      <c r="J55"/>
    </row>
    <row r="56" spans="1:10" x14ac:dyDescent="0.25">
      <c r="A56"/>
      <c r="B56"/>
      <c r="C56"/>
      <c r="D56"/>
      <c r="E56"/>
      <c r="F56"/>
      <c r="G56"/>
      <c r="H56"/>
      <c r="I56" s="20"/>
      <c r="J56"/>
    </row>
    <row r="57" spans="1:10" x14ac:dyDescent="0.25">
      <c r="A57"/>
      <c r="B57" s="21" t="s">
        <v>200</v>
      </c>
      <c r="C57"/>
      <c r="D57"/>
      <c r="E57"/>
      <c r="F57"/>
      <c r="G57"/>
      <c r="H57"/>
      <c r="I57" s="20"/>
      <c r="J57"/>
    </row>
    <row r="58" spans="1:10" s="97" customFormat="1" x14ac:dyDescent="0.25">
      <c r="A58" s="67"/>
      <c r="B58" s="72"/>
      <c r="C58" s="95" t="s">
        <v>188</v>
      </c>
      <c r="D58" s="62"/>
      <c r="E58" s="95" t="s">
        <v>190</v>
      </c>
      <c r="F58" s="95" t="s">
        <v>191</v>
      </c>
      <c r="G58" s="33"/>
      <c r="H58" s="96"/>
      <c r="I58" s="96"/>
      <c r="J58" s="67"/>
    </row>
    <row r="59" spans="1:10" s="93" customFormat="1" x14ac:dyDescent="0.25">
      <c r="A59" s="14"/>
      <c r="B59" s="13" t="s">
        <v>189</v>
      </c>
      <c r="C59" s="94"/>
      <c r="D59" s="87"/>
      <c r="E59" s="94"/>
      <c r="F59" s="94"/>
      <c r="G59" s="34"/>
      <c r="H59" s="92"/>
      <c r="I59" s="92"/>
      <c r="J59" s="14"/>
    </row>
    <row r="60" spans="1:10" s="93" customFormat="1" x14ac:dyDescent="0.25">
      <c r="A60" s="14"/>
      <c r="B60" s="91"/>
      <c r="C60" s="104"/>
      <c r="D60" s="14"/>
      <c r="E60" s="104"/>
      <c r="F60" s="104"/>
      <c r="G60" s="34"/>
      <c r="H60" s="92"/>
      <c r="I60" s="92"/>
      <c r="J60" s="14"/>
    </row>
    <row r="61" spans="1:10" s="93" customFormat="1" x14ac:dyDescent="0.25">
      <c r="A61" s="14"/>
      <c r="B61" s="68" t="s">
        <v>141</v>
      </c>
      <c r="C61" s="104"/>
      <c r="D61" s="14"/>
      <c r="E61" s="104"/>
      <c r="F61" s="104"/>
      <c r="G61" s="34"/>
      <c r="H61" s="92"/>
      <c r="I61" s="92"/>
      <c r="J61" s="14"/>
    </row>
    <row r="62" spans="1:10" x14ac:dyDescent="0.25">
      <c r="A62"/>
      <c r="B62" s="13" t="s">
        <v>2</v>
      </c>
      <c r="C62" s="27"/>
      <c r="D62" s="87"/>
      <c r="E62" s="27"/>
      <c r="F62" s="27"/>
      <c r="G62" s="34"/>
      <c r="H62" s="19"/>
      <c r="I62" s="20"/>
      <c r="J62"/>
    </row>
    <row r="63" spans="1:10" x14ac:dyDescent="0.25">
      <c r="A63"/>
      <c r="B63" s="13" t="s">
        <v>3</v>
      </c>
      <c r="C63" s="27"/>
      <c r="D63" s="87"/>
      <c r="E63" s="27"/>
      <c r="F63" s="27"/>
      <c r="G63" s="34"/>
      <c r="H63" s="19"/>
      <c r="I63" s="20"/>
      <c r="J63"/>
    </row>
    <row r="64" spans="1:10" x14ac:dyDescent="0.25">
      <c r="A64"/>
      <c r="B64" s="13" t="s">
        <v>4</v>
      </c>
      <c r="C64" s="30"/>
      <c r="D64" s="87"/>
      <c r="E64" s="30"/>
      <c r="F64" s="30"/>
      <c r="G64" s="34"/>
      <c r="H64" s="19"/>
      <c r="I64" s="20"/>
      <c r="J64"/>
    </row>
    <row r="65" spans="1:10" x14ac:dyDescent="0.25">
      <c r="A65"/>
      <c r="B65" s="13" t="s">
        <v>5</v>
      </c>
      <c r="C65" s="27"/>
      <c r="D65" s="87"/>
      <c r="E65" s="27"/>
      <c r="F65" s="27"/>
      <c r="G65" s="34"/>
      <c r="H65" s="19"/>
      <c r="I65" s="20"/>
      <c r="J65"/>
    </row>
    <row r="66" spans="1:10" x14ac:dyDescent="0.25">
      <c r="A66"/>
      <c r="B66" s="13" t="s">
        <v>7</v>
      </c>
      <c r="C66" s="27"/>
      <c r="D66" s="87"/>
      <c r="E66" s="27"/>
      <c r="F66" s="27"/>
      <c r="G66" s="34"/>
      <c r="H66" s="19"/>
      <c r="I66" s="20"/>
      <c r="J66"/>
    </row>
    <row r="67" spans="1:10" x14ac:dyDescent="0.25">
      <c r="A67"/>
      <c r="B67" s="13" t="s">
        <v>104</v>
      </c>
      <c r="C67" s="27"/>
      <c r="D67" s="87"/>
      <c r="E67" s="27"/>
      <c r="F67" s="27"/>
      <c r="G67" s="34"/>
      <c r="H67" s="19"/>
      <c r="I67" s="20"/>
      <c r="J67"/>
    </row>
    <row r="68" spans="1:10" x14ac:dyDescent="0.25">
      <c r="A68"/>
      <c r="B68" s="13" t="s">
        <v>96</v>
      </c>
      <c r="C68" s="27"/>
      <c r="D68" s="87"/>
      <c r="E68" s="27"/>
      <c r="F68" s="27"/>
      <c r="G68" s="34"/>
      <c r="H68" s="19"/>
      <c r="I68" s="20"/>
      <c r="J68"/>
    </row>
    <row r="69" spans="1:10" x14ac:dyDescent="0.25">
      <c r="A69"/>
      <c r="B69" s="13" t="s">
        <v>105</v>
      </c>
      <c r="C69" s="27"/>
      <c r="D69" s="87"/>
      <c r="E69" s="27"/>
      <c r="F69" s="27"/>
      <c r="G69" s="34"/>
      <c r="H69" s="19"/>
      <c r="I69" s="20"/>
      <c r="J69"/>
    </row>
    <row r="70" spans="1:10" x14ac:dyDescent="0.25">
      <c r="A70"/>
      <c r="B70" s="13"/>
      <c r="C70" s="28"/>
      <c r="D70"/>
      <c r="E70" s="28"/>
      <c r="F70" s="28"/>
      <c r="G70" s="34"/>
      <c r="H70" s="19"/>
      <c r="I70" s="20"/>
      <c r="J70"/>
    </row>
    <row r="71" spans="1:10" x14ac:dyDescent="0.25">
      <c r="A71"/>
      <c r="B71" s="58" t="s">
        <v>8</v>
      </c>
      <c r="C71" s="28"/>
      <c r="D71"/>
      <c r="E71" s="28"/>
      <c r="F71" s="28"/>
      <c r="G71" s="34"/>
      <c r="H71" s="19"/>
      <c r="I71" s="20"/>
      <c r="J71"/>
    </row>
    <row r="72" spans="1:10" x14ac:dyDescent="0.25">
      <c r="A72"/>
      <c r="B72" s="57" t="s">
        <v>94</v>
      </c>
      <c r="C72" s="27"/>
      <c r="D72" s="87"/>
      <c r="E72" s="27"/>
      <c r="F72" s="27"/>
      <c r="G72" s="34"/>
      <c r="H72" s="19"/>
      <c r="I72" s="20"/>
      <c r="J72"/>
    </row>
    <row r="73" spans="1:10" x14ac:dyDescent="0.25">
      <c r="A73"/>
      <c r="B73" s="57" t="s">
        <v>95</v>
      </c>
      <c r="C73" s="27"/>
      <c r="D73" s="87"/>
      <c r="E73" s="27"/>
      <c r="F73" s="27"/>
      <c r="G73" s="34"/>
      <c r="H73" s="19"/>
      <c r="I73" s="20"/>
      <c r="J73"/>
    </row>
    <row r="74" spans="1:10" x14ac:dyDescent="0.25">
      <c r="A74"/>
      <c r="B74" s="57" t="s">
        <v>138</v>
      </c>
      <c r="C74" s="27"/>
      <c r="D74" s="87"/>
      <c r="E74" s="27"/>
      <c r="F74" s="27"/>
      <c r="G74" s="34"/>
      <c r="H74" s="19"/>
      <c r="I74" s="20"/>
      <c r="J74"/>
    </row>
    <row r="75" spans="1:10" x14ac:dyDescent="0.25">
      <c r="A75"/>
      <c r="B75" s="57" t="s">
        <v>6</v>
      </c>
      <c r="C75" s="27"/>
      <c r="D75" s="87"/>
      <c r="E75" s="27"/>
      <c r="F75" s="27"/>
      <c r="G75" s="34"/>
      <c r="H75" s="19"/>
      <c r="I75" s="20"/>
      <c r="J75"/>
    </row>
    <row r="76" spans="1:10" x14ac:dyDescent="0.25">
      <c r="A76"/>
      <c r="B76" s="57"/>
      <c r="C76" s="28"/>
      <c r="D76"/>
      <c r="E76" s="28"/>
      <c r="F76" s="28"/>
      <c r="G76" s="34"/>
      <c r="H76" s="19"/>
      <c r="I76" s="20"/>
      <c r="J76"/>
    </row>
    <row r="77" spans="1:10" x14ac:dyDescent="0.25">
      <c r="A77"/>
      <c r="B77" s="68" t="s">
        <v>109</v>
      </c>
      <c r="C77" s="28"/>
      <c r="D77"/>
      <c r="E77" s="28"/>
      <c r="F77" s="28"/>
      <c r="G77" s="34"/>
      <c r="H77" s="19"/>
      <c r="I77" s="20"/>
      <c r="J77"/>
    </row>
    <row r="78" spans="1:10" x14ac:dyDescent="0.25">
      <c r="A78"/>
      <c r="B78" s="13" t="s">
        <v>93</v>
      </c>
      <c r="C78" s="31"/>
      <c r="D78" s="87"/>
      <c r="E78" s="31"/>
      <c r="F78" s="31"/>
      <c r="G78" s="34"/>
      <c r="H78" s="19"/>
      <c r="I78" s="20"/>
      <c r="J78"/>
    </row>
    <row r="79" spans="1:10" x14ac:dyDescent="0.25">
      <c r="A79"/>
      <c r="B79" s="13" t="s">
        <v>13</v>
      </c>
      <c r="C79" s="31"/>
      <c r="D79" s="87"/>
      <c r="E79" s="31"/>
      <c r="F79" s="31"/>
      <c r="G79" s="34"/>
      <c r="H79" s="19"/>
      <c r="I79" s="20"/>
      <c r="J79"/>
    </row>
    <row r="80" spans="1:10" x14ac:dyDescent="0.25">
      <c r="A80"/>
      <c r="B80" s="18"/>
      <c r="C80" s="80"/>
      <c r="D80" s="16"/>
      <c r="E80" s="16"/>
      <c r="F80" s="16"/>
      <c r="G80" s="40"/>
      <c r="H80" s="19" t="b">
        <v>0</v>
      </c>
      <c r="I80" s="20" t="str">
        <f t="shared" ref="I80" si="0">IF(C80&gt;=25%,"TRUE","")</f>
        <v/>
      </c>
      <c r="J80"/>
    </row>
    <row r="81" spans="1:10" x14ac:dyDescent="0.25">
      <c r="A81"/>
      <c r="B81"/>
      <c r="C81"/>
      <c r="D81"/>
      <c r="E81"/>
      <c r="F81"/>
      <c r="G81"/>
      <c r="H81" s="19"/>
      <c r="I81" s="20"/>
      <c r="J81"/>
    </row>
    <row r="82" spans="1:10" x14ac:dyDescent="0.25">
      <c r="A82"/>
      <c r="B82" s="21" t="s">
        <v>201</v>
      </c>
      <c r="C82"/>
      <c r="D82"/>
      <c r="E82"/>
      <c r="F82"/>
      <c r="G82"/>
      <c r="H82"/>
      <c r="I82" s="20"/>
      <c r="J82"/>
    </row>
    <row r="83" spans="1:10" x14ac:dyDescent="0.25">
      <c r="A83"/>
      <c r="B83" s="61"/>
      <c r="C83" s="95" t="s">
        <v>188</v>
      </c>
      <c r="D83" s="62"/>
      <c r="E83" s="95" t="s">
        <v>190</v>
      </c>
      <c r="F83" s="95" t="s">
        <v>191</v>
      </c>
      <c r="G83" s="69"/>
      <c r="H83" s="19"/>
      <c r="I83" s="20"/>
      <c r="J83"/>
    </row>
    <row r="84" spans="1:10" x14ac:dyDescent="0.25">
      <c r="A84"/>
      <c r="B84" s="13" t="s">
        <v>110</v>
      </c>
      <c r="C84" s="31"/>
      <c r="D84" s="27"/>
      <c r="E84" s="31"/>
      <c r="F84" s="31"/>
      <c r="G84" s="43"/>
      <c r="H84" s="19"/>
      <c r="I84" s="20"/>
      <c r="J84"/>
    </row>
    <row r="85" spans="1:10" x14ac:dyDescent="0.25">
      <c r="A85"/>
      <c r="B85" s="13" t="s">
        <v>114</v>
      </c>
      <c r="C85" s="31"/>
      <c r="D85" s="27"/>
      <c r="E85" s="31"/>
      <c r="F85" s="31"/>
      <c r="G85" s="43"/>
      <c r="H85" s="19"/>
      <c r="I85" s="20"/>
      <c r="J85"/>
    </row>
    <row r="86" spans="1:10" x14ac:dyDescent="0.25">
      <c r="A86"/>
      <c r="B86" s="13" t="s">
        <v>118</v>
      </c>
      <c r="C86" s="30"/>
      <c r="D86" s="27"/>
      <c r="E86" s="30"/>
      <c r="F86" s="30"/>
      <c r="G86" s="43"/>
      <c r="H86" s="19"/>
      <c r="I86" s="20"/>
      <c r="J86"/>
    </row>
    <row r="87" spans="1:10" x14ac:dyDescent="0.25">
      <c r="A87"/>
      <c r="B87" s="13" t="s">
        <v>119</v>
      </c>
      <c r="C87" s="30"/>
      <c r="D87" s="27"/>
      <c r="E87" s="30"/>
      <c r="F87" s="30"/>
      <c r="G87" s="43"/>
      <c r="H87" s="19"/>
      <c r="I87" s="20"/>
      <c r="J87"/>
    </row>
    <row r="88" spans="1:10" x14ac:dyDescent="0.25">
      <c r="A88"/>
      <c r="B88" s="13" t="s">
        <v>120</v>
      </c>
      <c r="C88" s="27"/>
      <c r="D88" s="27"/>
      <c r="E88" s="27"/>
      <c r="F88" s="27"/>
      <c r="G88" s="43"/>
      <c r="H88" s="19"/>
      <c r="I88" s="20"/>
      <c r="J88"/>
    </row>
    <row r="89" spans="1:10" x14ac:dyDescent="0.25">
      <c r="A89"/>
      <c r="B89" s="18"/>
      <c r="C89" s="16"/>
      <c r="D89" s="32"/>
      <c r="E89" s="32"/>
      <c r="F89" s="32"/>
      <c r="G89" s="40"/>
      <c r="H89" s="19"/>
      <c r="I89" s="20"/>
      <c r="J89"/>
    </row>
    <row r="90" spans="1:10" x14ac:dyDescent="0.25">
      <c r="A90"/>
      <c r="B90"/>
      <c r="C90"/>
      <c r="D90"/>
      <c r="E90"/>
      <c r="F90"/>
      <c r="G90"/>
      <c r="H90" s="19"/>
      <c r="I90" s="20"/>
      <c r="J90"/>
    </row>
    <row r="91" spans="1:10" x14ac:dyDescent="0.25">
      <c r="A91"/>
      <c r="B91" s="21" t="s">
        <v>84</v>
      </c>
      <c r="C91"/>
      <c r="D91"/>
      <c r="E91"/>
      <c r="F91"/>
      <c r="G91"/>
      <c r="H91" s="19"/>
      <c r="I91" s="20"/>
      <c r="J91"/>
    </row>
    <row r="92" spans="1:10" x14ac:dyDescent="0.25">
      <c r="A92"/>
      <c r="B92" s="120" t="s">
        <v>121</v>
      </c>
      <c r="C92" s="122"/>
      <c r="D92" s="11"/>
      <c r="E92" s="11" t="s">
        <v>151</v>
      </c>
      <c r="F92" s="29"/>
      <c r="G92" s="33"/>
      <c r="H92" s="19"/>
      <c r="I92" s="20"/>
      <c r="J92"/>
    </row>
    <row r="93" spans="1:10" x14ac:dyDescent="0.25">
      <c r="A93"/>
      <c r="B93" s="121"/>
      <c r="C93" s="123"/>
      <c r="D93"/>
      <c r="E93" s="70"/>
      <c r="F93" s="27"/>
      <c r="G93" s="34"/>
      <c r="H93" s="19"/>
      <c r="I93" s="38">
        <f>SUM(I31:I89)</f>
        <v>0</v>
      </c>
      <c r="J93"/>
    </row>
    <row r="94" spans="1:10" x14ac:dyDescent="0.25">
      <c r="A94"/>
      <c r="B94" s="18"/>
      <c r="C94" s="16"/>
      <c r="D94" s="16"/>
      <c r="E94" s="16"/>
      <c r="F94" s="16"/>
      <c r="G94" s="17"/>
      <c r="H94" s="19"/>
      <c r="I94" s="9"/>
      <c r="J94"/>
    </row>
    <row r="95" spans="1:10" x14ac:dyDescent="0.25">
      <c r="A95"/>
      <c r="B95"/>
      <c r="C95"/>
      <c r="D95"/>
      <c r="E95"/>
      <c r="F95"/>
      <c r="G95"/>
      <c r="H95" s="19"/>
      <c r="I95" s="9"/>
      <c r="J95"/>
    </row>
    <row r="96" spans="1:10" x14ac:dyDescent="0.25">
      <c r="A96"/>
      <c r="B96" t="s">
        <v>106</v>
      </c>
      <c r="C96" s="30"/>
      <c r="D96"/>
      <c r="E96" t="s">
        <v>124</v>
      </c>
      <c r="F96"/>
      <c r="G96"/>
      <c r="H96" s="19"/>
      <c r="I96" s="9"/>
      <c r="J96"/>
    </row>
    <row r="97" spans="1:10" x14ac:dyDescent="0.25">
      <c r="A97"/>
      <c r="B97" t="s">
        <v>123</v>
      </c>
      <c r="C97" s="27"/>
      <c r="D97"/>
      <c r="E97"/>
      <c r="F97" s="9"/>
      <c r="G97"/>
      <c r="H97" s="19"/>
      <c r="I97" s="9"/>
      <c r="J97"/>
    </row>
    <row r="98" spans="1:10" x14ac:dyDescent="0.25">
      <c r="A98"/>
      <c r="B98" s="71" t="s">
        <v>122</v>
      </c>
      <c r="C98" s="27"/>
      <c r="D98"/>
      <c r="E98"/>
      <c r="F98"/>
      <c r="G98"/>
      <c r="H98" s="19"/>
      <c r="I98" s="9"/>
      <c r="J98"/>
    </row>
    <row r="99" spans="1:10" x14ac:dyDescent="0.25">
      <c r="A99"/>
      <c r="B99"/>
      <c r="C99"/>
      <c r="D99"/>
      <c r="E99"/>
      <c r="F99"/>
      <c r="G99"/>
      <c r="H99" s="19"/>
      <c r="I99" s="20"/>
      <c r="J99"/>
    </row>
    <row r="100" spans="1:10" x14ac:dyDescent="0.25">
      <c r="A100"/>
      <c r="B100"/>
      <c r="C100"/>
      <c r="D100"/>
      <c r="E100"/>
      <c r="F100"/>
      <c r="G100"/>
      <c r="H100" s="19"/>
      <c r="I100" s="20"/>
      <c r="J100"/>
    </row>
    <row r="101" spans="1:10" x14ac:dyDescent="0.25">
      <c r="A101"/>
      <c r="B101"/>
      <c r="C101"/>
      <c r="D101"/>
      <c r="E101"/>
      <c r="F101"/>
      <c r="G101"/>
      <c r="H101" s="19"/>
      <c r="I101" s="20"/>
      <c r="J101"/>
    </row>
    <row r="306" spans="1:10" s="46" customFormat="1" x14ac:dyDescent="0.25">
      <c r="A306" s="12"/>
      <c r="B306" s="12"/>
      <c r="C306" s="12"/>
      <c r="D306" s="12"/>
      <c r="E306" s="12"/>
      <c r="F306" s="12"/>
      <c r="G306" s="12"/>
      <c r="H306" s="45" t="b">
        <v>0</v>
      </c>
      <c r="J306" s="12"/>
    </row>
  </sheetData>
  <protectedRanges>
    <protectedRange sqref="C39:C42 F39:F42" name="PP_5"/>
    <protectedRange sqref="C45:C47" name="PP_7"/>
    <protectedRange sqref="C72:C75 C78:C79 C62:C68 C59 E72:F75 E78:F79 E62:F68 E59:F59" name="PP_8"/>
    <protectedRange sqref="C84:C88 E84:F88" name="PP_9"/>
    <protectedRange sqref="C92 C96:C98 F92:G93" name="PP_10"/>
    <protectedRange sqref="C13:C17 F6:F8 F10:F12 C7:C10 C27:C28 C21:C24" name="PP"/>
    <protectedRange sqref="Q11 Q13:Q15" name="PP_1"/>
  </protectedRanges>
  <dataConsolidate/>
  <mergeCells count="2">
    <mergeCell ref="B92:B93"/>
    <mergeCell ref="C92:C93"/>
  </mergeCells>
  <conditionalFormatting sqref="B58:C61 B80:C80">
    <cfRule type="expression" dxfId="59" priority="21">
      <formula>$H58=TRUE</formula>
    </cfRule>
  </conditionalFormatting>
  <conditionalFormatting sqref="D58 D80:F80 D60:D79">
    <cfRule type="expression" dxfId="58" priority="20">
      <formula>$I58="TRUE"</formula>
    </cfRule>
  </conditionalFormatting>
  <conditionalFormatting sqref="E58:F61">
    <cfRule type="expression" dxfId="57" priority="18">
      <formula>$H58=TRUE</formula>
    </cfRule>
  </conditionalFormatting>
  <conditionalFormatting sqref="D59">
    <cfRule type="expression" dxfId="56" priority="23">
      <formula>#REF!="TRUE"</formula>
    </cfRule>
  </conditionalFormatting>
  <conditionalFormatting sqref="G83:G88">
    <cfRule type="containsText" dxfId="55" priority="16" operator="containsText" text="Relation d'affaire en suspend">
      <formula>NOT(ISERROR(SEARCH("Relation d'affaire en suspend",G83)))</formula>
    </cfRule>
    <cfRule type="containsText" dxfId="54" priority="17" operator="containsText" text="Prière de dater et signer la copie du document d'identité obtenue">
      <formula>NOT(ISERROR(SEARCH("Prière de dater et signer la copie du document d'identité obtenue",G83)))</formula>
    </cfRule>
  </conditionalFormatting>
  <conditionalFormatting sqref="C83">
    <cfRule type="expression" dxfId="53" priority="15">
      <formula>$H83=TRUE</formula>
    </cfRule>
  </conditionalFormatting>
  <conditionalFormatting sqref="D83">
    <cfRule type="expression" dxfId="52" priority="14">
      <formula>$I83="TRUE"</formula>
    </cfRule>
  </conditionalFormatting>
  <conditionalFormatting sqref="E83:F83">
    <cfRule type="expression" dxfId="51" priority="13">
      <formula>$H83=TRUE</formula>
    </cfRule>
  </conditionalFormatting>
  <conditionalFormatting sqref="C92">
    <cfRule type="containsText" dxfId="50" priority="10" operator="containsText" text="Risque faible">
      <formula>NOT(ISERROR(SEARCH("Risque faible",C92)))</formula>
    </cfRule>
    <cfRule type="containsText" dxfId="49" priority="11" operator="containsText" text="Risque élevé">
      <formula>NOT(ISERROR(SEARCH("Risque élevé",C92)))</formula>
    </cfRule>
    <cfRule type="containsText" dxfId="48" priority="12" operator="containsText" text="Risque moyen">
      <formula>NOT(ISERROR(SEARCH("Risque moyen",C92)))</formula>
    </cfRule>
  </conditionalFormatting>
  <conditionalFormatting sqref="F10:F12 F6:F8">
    <cfRule type="expression" dxfId="47" priority="2">
      <formula>$H6="TRUE"</formula>
    </cfRule>
  </conditionalFormatting>
  <conditionalFormatting sqref="Q13:Q15 Q11">
    <cfRule type="expression" dxfId="46" priority="1">
      <formula>$H11="TRUE"</formula>
    </cfRule>
  </conditionalFormatting>
  <dataValidations count="2">
    <dataValidation type="list" allowBlank="1" showInputMessage="1" showErrorMessage="1" sqref="C23" xr:uid="{0213CA4F-8157-4084-AF90-7D69AE32F74D}">
      <formula1>$R$11:$R$14</formula1>
    </dataValidation>
    <dataValidation type="list" allowBlank="1" showInputMessage="1" showErrorMessage="1" sqref="C8" xr:uid="{F8D2F958-F1D9-4D0B-AA88-4C6731E6C699}">
      <formula1>$Q$11:$Q$15</formula1>
    </dataValidation>
  </dataValidations>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mpression">
                <anchor moveWithCells="1" sizeWithCells="1">
                  <from>
                    <xdr:col>0</xdr:col>
                    <xdr:colOff>228600</xdr:colOff>
                    <xdr:row>99</xdr:row>
                    <xdr:rowOff>19050</xdr:rowOff>
                  </from>
                  <to>
                    <xdr:col>2</xdr:col>
                    <xdr:colOff>0</xdr:colOff>
                    <xdr:row>101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showInputMessage="1" showErrorMessage="1" xr:uid="{C77883B3-F69D-4913-8B56-638A870F3771}">
          <x14:formula1>
            <xm:f>Options!$C$5:$C$8</xm:f>
          </x14:formula1>
          <xm:sqref>C69 E69:F69</xm:sqref>
        </x14:dataValidation>
        <x14:dataValidation type="list" allowBlank="1" showInputMessage="1" showErrorMessage="1" xr:uid="{B31710FE-AB92-45E4-866C-0FEC0301E759}">
          <x14:formula1>
            <xm:f>Options!$E$32:$E$33</xm:f>
          </x14:formula1>
          <xm:sqref>C84 E84:F84</xm:sqref>
        </x14:dataValidation>
        <x14:dataValidation type="list" allowBlank="1" showInputMessage="1" showErrorMessage="1" xr:uid="{45DB37DD-4523-4780-9550-A705D8816C61}">
          <x14:formula1>
            <xm:f>Options!$E$36:$E$38</xm:f>
          </x14:formula1>
          <xm:sqref>C85 E85:F85</xm:sqref>
        </x14:dataValidation>
        <x14:dataValidation type="list" allowBlank="1" showInputMessage="1" showErrorMessage="1" xr:uid="{D4EA2FC4-4031-4998-A665-CF5FD9A8F4AB}">
          <x14:formula1>
            <xm:f>Options!$F$5:$F$6</xm:f>
          </x14:formula1>
          <xm:sqref>E88:F88 C88</xm:sqref>
        </x14:dataValidation>
        <x14:dataValidation type="list" allowBlank="1" showInputMessage="1" showErrorMessage="1" xr:uid="{3B28D4A2-6F72-4CE5-B25A-FD1DBB0AED95}">
          <x14:formula1>
            <xm:f>Options!$M$13:$M$16</xm:f>
          </x14:formula1>
          <xm:sqref>C52:C55</xm:sqref>
        </x14:dataValidation>
        <x14:dataValidation type="list" allowBlank="1" showInputMessage="1" showErrorMessage="1" xr:uid="{02336087-1D9E-4790-A18B-0190345BB7B9}">
          <x14:formula1>
            <xm:f>Options!$I$16:$I$20</xm:f>
          </x14:formula1>
          <xm:sqref>C24</xm:sqref>
        </x14:dataValidation>
        <x14:dataValidation type="list" allowBlank="1" showInputMessage="1" showErrorMessage="1" xr:uid="{7F15FEA4-4960-43A1-892C-E09A280FA066}">
          <x14:formula1>
            <xm:f>Options!$B$24:$B$28</xm:f>
          </x14:formula1>
          <xm:sqref>C26</xm:sqref>
        </x14:dataValidation>
        <x14:dataValidation type="list" allowBlank="1" showInputMessage="1" showErrorMessage="1" xr:uid="{AC539E42-B44E-4F28-8869-13FEFB4E4CDC}">
          <x14:formula1>
            <xm:f>Options!$C$19:$C$21</xm:f>
          </x14:formula1>
          <xm:sqref>C92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D725F-A3F2-4ABC-BBC9-DD1E93C4CB27}">
  <sheetPr codeName="Sheet5">
    <tabColor theme="9" tint="-0.249977111117893"/>
  </sheetPr>
  <dimension ref="A1:J81"/>
  <sheetViews>
    <sheetView showGridLines="0" zoomScale="85" zoomScaleNormal="85" zoomScaleSheetLayoutView="100" workbookViewId="0"/>
  </sheetViews>
  <sheetFormatPr defaultColWidth="9.140625" defaultRowHeight="15" x14ac:dyDescent="0.25"/>
  <cols>
    <col min="1" max="1" width="3.5703125" style="12" customWidth="1"/>
    <col min="2" max="2" width="31.42578125" style="12" customWidth="1"/>
    <col min="3" max="3" width="39.140625" style="12" customWidth="1"/>
    <col min="4" max="4" width="4.28515625" style="12" customWidth="1"/>
    <col min="5" max="5" width="31.7109375" style="12" customWidth="1"/>
    <col min="6" max="6" width="36.42578125" style="12" customWidth="1"/>
    <col min="7" max="7" width="21.5703125" style="12" customWidth="1"/>
    <col min="8" max="8" width="7.42578125" style="45" hidden="1" customWidth="1"/>
    <col min="9" max="9" width="9.42578125" style="46" hidden="1" customWidth="1"/>
    <col min="10" max="10" width="2.85546875" style="12" hidden="1" customWidth="1"/>
    <col min="11" max="16384" width="9.140625" style="12"/>
  </cols>
  <sheetData>
    <row r="1" spans="1:10" x14ac:dyDescent="0.25">
      <c r="A1"/>
      <c r="B1"/>
      <c r="C1"/>
      <c r="D1"/>
      <c r="E1"/>
      <c r="F1"/>
      <c r="G1"/>
      <c r="H1" s="19"/>
      <c r="I1" s="20"/>
      <c r="J1"/>
    </row>
    <row r="2" spans="1:10" s="24" customFormat="1" ht="15.75" x14ac:dyDescent="0.25">
      <c r="A2" s="21"/>
      <c r="B2" s="51" t="s">
        <v>172</v>
      </c>
      <c r="C2" s="41"/>
      <c r="D2" s="41"/>
      <c r="E2" s="41"/>
      <c r="F2" s="53"/>
      <c r="G2" s="56" t="s">
        <v>153</v>
      </c>
      <c r="H2" s="22"/>
      <c r="I2" s="23"/>
      <c r="J2" s="21"/>
    </row>
    <row r="3" spans="1:10" s="24" customFormat="1" ht="15.75" x14ac:dyDescent="0.25">
      <c r="A3" s="21"/>
      <c r="B3" s="25"/>
      <c r="C3" s="41"/>
      <c r="D3" s="41"/>
      <c r="E3"/>
      <c r="F3"/>
      <c r="G3" s="54"/>
      <c r="H3" s="22"/>
      <c r="I3" s="23"/>
      <c r="J3" s="21"/>
    </row>
    <row r="4" spans="1:10" s="49" customFormat="1" ht="15.75" x14ac:dyDescent="0.25">
      <c r="A4" s="47"/>
      <c r="B4" s="52"/>
      <c r="C4" s="50"/>
      <c r="D4" s="50"/>
      <c r="E4"/>
      <c r="F4"/>
      <c r="G4" s="55"/>
      <c r="H4" s="48"/>
      <c r="I4" s="47"/>
      <c r="J4" s="47"/>
    </row>
    <row r="5" spans="1:10" x14ac:dyDescent="0.25">
      <c r="A5"/>
      <c r="B5" s="21" t="s">
        <v>128</v>
      </c>
      <c r="C5"/>
      <c r="D5"/>
      <c r="E5"/>
      <c r="F5"/>
      <c r="G5"/>
      <c r="H5" s="19"/>
      <c r="I5" s="20"/>
      <c r="J5"/>
    </row>
    <row r="6" spans="1:10" x14ac:dyDescent="0.25">
      <c r="A6"/>
      <c r="B6" s="72" t="s">
        <v>141</v>
      </c>
      <c r="C6" s="26"/>
      <c r="D6" s="26"/>
      <c r="E6" s="26" t="str">
        <f>IF($C$7="Autres","Spécifier :","")</f>
        <v/>
      </c>
      <c r="F6" s="26"/>
      <c r="G6" s="33"/>
      <c r="H6" s="19" t="b">
        <f>IF(E6&lt;&gt;"","TRUE",FALSE)</f>
        <v>0</v>
      </c>
      <c r="I6" s="20"/>
      <c r="J6"/>
    </row>
    <row r="7" spans="1:10" x14ac:dyDescent="0.25">
      <c r="A7"/>
      <c r="B7" s="13" t="s">
        <v>98</v>
      </c>
      <c r="C7" s="27"/>
      <c r="D7" s="28"/>
      <c r="E7" s="28"/>
      <c r="F7" s="28"/>
      <c r="G7" s="34"/>
      <c r="H7" s="19"/>
      <c r="I7" s="20"/>
      <c r="J7"/>
    </row>
    <row r="8" spans="1:10" x14ac:dyDescent="0.25">
      <c r="A8"/>
      <c r="B8" s="13" t="s">
        <v>133</v>
      </c>
      <c r="C8" s="27"/>
      <c r="D8" s="28"/>
      <c r="E8" s="28" t="str">
        <f>IF($C$8="Autres","Spécifier :","")</f>
        <v/>
      </c>
      <c r="F8" s="28"/>
      <c r="G8" s="34"/>
      <c r="H8" s="19" t="b">
        <f>IF(E8&lt;&gt;"","TRUE",FALSE)</f>
        <v>0</v>
      </c>
      <c r="I8" s="20"/>
      <c r="J8"/>
    </row>
    <row r="9" spans="1:10" x14ac:dyDescent="0.25">
      <c r="A9"/>
      <c r="B9" s="13" t="s">
        <v>140</v>
      </c>
      <c r="C9" s="27"/>
      <c r="D9" s="28"/>
      <c r="E9" s="28"/>
      <c r="F9" s="28"/>
      <c r="G9" s="34"/>
      <c r="H9" s="19"/>
      <c r="I9" s="20"/>
      <c r="J9"/>
    </row>
    <row r="10" spans="1:10" x14ac:dyDescent="0.25">
      <c r="A10"/>
      <c r="B10" s="13" t="s">
        <v>89</v>
      </c>
      <c r="C10" s="27"/>
      <c r="D10" s="28"/>
      <c r="E10" s="28"/>
      <c r="F10" s="28"/>
      <c r="G10" s="34"/>
      <c r="H10" s="19"/>
      <c r="I10" s="20"/>
      <c r="J10"/>
    </row>
    <row r="11" spans="1:10" x14ac:dyDescent="0.25">
      <c r="A11"/>
      <c r="B11" s="13"/>
      <c r="C11" s="28"/>
      <c r="D11" s="28"/>
      <c r="E11" s="28"/>
      <c r="F11" s="28"/>
      <c r="G11" s="34"/>
      <c r="H11" s="19"/>
      <c r="I11" s="20"/>
      <c r="J11"/>
    </row>
    <row r="12" spans="1:10" x14ac:dyDescent="0.25">
      <c r="A12"/>
      <c r="B12" s="66" t="s">
        <v>137</v>
      </c>
      <c r="C12" s="28"/>
      <c r="D12" s="28"/>
      <c r="E12" s="28"/>
      <c r="F12" s="28"/>
      <c r="G12" s="34"/>
      <c r="H12" s="19"/>
      <c r="I12" s="20"/>
      <c r="J12"/>
    </row>
    <row r="13" spans="1:10" x14ac:dyDescent="0.25">
      <c r="A13"/>
      <c r="B13" s="57" t="s">
        <v>94</v>
      </c>
      <c r="C13" s="27"/>
      <c r="D13" s="28"/>
      <c r="E13" s="28"/>
      <c r="F13" s="28"/>
      <c r="G13" s="34"/>
      <c r="H13" s="19"/>
      <c r="I13" s="20"/>
      <c r="J13"/>
    </row>
    <row r="14" spans="1:10" x14ac:dyDescent="0.25">
      <c r="A14"/>
      <c r="B14" s="57" t="s">
        <v>95</v>
      </c>
      <c r="C14" s="27"/>
      <c r="D14" s="28"/>
      <c r="E14" s="28"/>
      <c r="F14" s="28"/>
      <c r="G14" s="34"/>
      <c r="H14" s="19"/>
      <c r="I14" s="20"/>
      <c r="J14"/>
    </row>
    <row r="15" spans="1:10" x14ac:dyDescent="0.25">
      <c r="A15"/>
      <c r="B15" s="57" t="s">
        <v>138</v>
      </c>
      <c r="C15" s="27"/>
      <c r="D15" s="28"/>
      <c r="E15" s="28"/>
      <c r="F15" s="28"/>
      <c r="G15" s="34"/>
      <c r="H15" s="19"/>
      <c r="I15" s="20"/>
      <c r="J15"/>
    </row>
    <row r="16" spans="1:10" x14ac:dyDescent="0.25">
      <c r="A16"/>
      <c r="B16" s="57" t="s">
        <v>6</v>
      </c>
      <c r="C16" s="27"/>
      <c r="D16" s="28"/>
      <c r="E16" s="28"/>
      <c r="F16" s="28"/>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x14ac:dyDescent="0.25">
      <c r="A19"/>
      <c r="B19" s="103" t="s">
        <v>204</v>
      </c>
      <c r="C19" s="110"/>
      <c r="D19" s="110"/>
      <c r="E19" s="103" t="s">
        <v>203</v>
      </c>
      <c r="F19" s="110"/>
      <c r="G19" s="100"/>
      <c r="H19" s="19"/>
      <c r="I19" s="20"/>
      <c r="J19"/>
    </row>
    <row r="20" spans="1:10" x14ac:dyDescent="0.25">
      <c r="A20"/>
      <c r="B20" s="73" t="s">
        <v>205</v>
      </c>
      <c r="C20" s="28"/>
      <c r="D20" s="28"/>
      <c r="E20" s="73" t="s">
        <v>205</v>
      </c>
      <c r="F20" s="28"/>
      <c r="G20" s="34"/>
      <c r="H20" s="19"/>
      <c r="I20" s="20"/>
      <c r="J20"/>
    </row>
    <row r="21" spans="1:10" x14ac:dyDescent="0.25">
      <c r="A21"/>
      <c r="B21" s="13" t="s">
        <v>209</v>
      </c>
      <c r="C21" s="74"/>
      <c r="D21" s="28"/>
      <c r="E21" s="57" t="s">
        <v>213</v>
      </c>
      <c r="F21" s="74"/>
      <c r="G21" s="34"/>
      <c r="H21" s="19"/>
      <c r="I21" s="20"/>
      <c r="J21"/>
    </row>
    <row r="22" spans="1:10" ht="15.75" thickBot="1" x14ac:dyDescent="0.3">
      <c r="A22"/>
      <c r="B22" s="13" t="s">
        <v>142</v>
      </c>
      <c r="C22" s="76"/>
      <c r="D22" s="28"/>
      <c r="E22" s="57"/>
      <c r="F22" s="28"/>
      <c r="G22" s="34"/>
      <c r="H22" s="19"/>
      <c r="I22" s="20"/>
      <c r="J22"/>
    </row>
    <row r="23" spans="1:10" ht="15.75" thickTop="1" x14ac:dyDescent="0.25">
      <c r="A23"/>
      <c r="B23" s="107" t="s">
        <v>210</v>
      </c>
      <c r="C23" s="108">
        <f>C21+C22</f>
        <v>0</v>
      </c>
      <c r="D23" s="28"/>
      <c r="E23" s="109" t="s">
        <v>212</v>
      </c>
      <c r="F23" s="28"/>
      <c r="G23" s="34"/>
      <c r="H23" s="19"/>
      <c r="I23" s="20"/>
      <c r="J23"/>
    </row>
    <row r="24" spans="1:10" x14ac:dyDescent="0.25">
      <c r="A24"/>
      <c r="B24" s="13"/>
      <c r="C24" s="75"/>
      <c r="D24" s="28"/>
      <c r="E24" s="36" t="s">
        <v>18</v>
      </c>
      <c r="F24" s="111"/>
      <c r="G24" s="34"/>
      <c r="H24" s="19"/>
      <c r="I24" s="20"/>
      <c r="J24"/>
    </row>
    <row r="25" spans="1:10" s="39" customFormat="1" x14ac:dyDescent="0.25">
      <c r="A25" s="35"/>
      <c r="B25" s="36" t="s">
        <v>18</v>
      </c>
      <c r="C25" s="111"/>
      <c r="D25" s="112"/>
      <c r="E25" s="36" t="s">
        <v>157</v>
      </c>
      <c r="F25" s="111"/>
      <c r="G25" s="37"/>
      <c r="H25" s="19" t="str">
        <f>IF(E25&lt;&gt;"","TRUE",FALSE)</f>
        <v>TRUE</v>
      </c>
      <c r="I25" s="38"/>
      <c r="J25" s="35"/>
    </row>
    <row r="26" spans="1:10" s="39" customFormat="1" x14ac:dyDescent="0.25">
      <c r="A26" s="35"/>
      <c r="B26" s="36" t="s">
        <v>157</v>
      </c>
      <c r="C26" s="111"/>
      <c r="D26" s="112"/>
      <c r="E26" s="57"/>
      <c r="F26" s="28"/>
      <c r="G26" s="37"/>
      <c r="H26" s="19"/>
      <c r="I26" s="38"/>
      <c r="J26" s="35"/>
    </row>
    <row r="27" spans="1:10" s="39" customFormat="1" x14ac:dyDescent="0.25">
      <c r="A27" s="35"/>
      <c r="B27" s="36" t="s">
        <v>158</v>
      </c>
      <c r="C27" s="111"/>
      <c r="D27" s="112"/>
      <c r="E27" s="109" t="s">
        <v>214</v>
      </c>
      <c r="F27" s="28"/>
      <c r="G27" s="37"/>
      <c r="H27" s="19"/>
      <c r="I27" s="38"/>
      <c r="J27" s="35"/>
    </row>
    <row r="28" spans="1:10" s="39" customFormat="1" x14ac:dyDescent="0.25">
      <c r="A28" s="35"/>
      <c r="B28" s="36"/>
      <c r="C28" s="112"/>
      <c r="D28" s="112"/>
      <c r="E28" s="36" t="s">
        <v>163</v>
      </c>
      <c r="F28" s="111"/>
      <c r="G28" s="37"/>
      <c r="H28" s="19"/>
      <c r="I28" s="38"/>
      <c r="J28" s="35"/>
    </row>
    <row r="29" spans="1:10" s="39" customFormat="1" x14ac:dyDescent="0.25">
      <c r="A29" s="35"/>
      <c r="B29" s="66" t="s">
        <v>206</v>
      </c>
      <c r="C29" s="28"/>
      <c r="D29" s="28"/>
      <c r="E29" s="57"/>
      <c r="F29" s="28"/>
      <c r="G29" s="37"/>
      <c r="H29" s="19"/>
      <c r="I29" s="38"/>
      <c r="J29" s="35"/>
    </row>
    <row r="30" spans="1:10" s="39" customFormat="1" x14ac:dyDescent="0.25">
      <c r="A30" s="35"/>
      <c r="B30" s="13" t="s">
        <v>149</v>
      </c>
      <c r="C30" s="27"/>
      <c r="D30" s="28"/>
      <c r="E30" s="73" t="s">
        <v>206</v>
      </c>
      <c r="F30" s="28"/>
      <c r="G30" s="37"/>
      <c r="H30" s="19"/>
      <c r="I30" s="38"/>
      <c r="J30" s="35"/>
    </row>
    <row r="31" spans="1:10" s="39" customFormat="1" x14ac:dyDescent="0.25">
      <c r="A31" s="35"/>
      <c r="B31" s="13" t="s">
        <v>150</v>
      </c>
      <c r="C31" s="27"/>
      <c r="D31" s="28"/>
      <c r="E31" s="57" t="s">
        <v>130</v>
      </c>
      <c r="F31" s="27"/>
      <c r="G31" s="37"/>
      <c r="H31" s="19"/>
      <c r="I31" s="38"/>
      <c r="J31" s="35"/>
    </row>
    <row r="32" spans="1:10" s="39" customFormat="1" x14ac:dyDescent="0.25">
      <c r="A32" s="35"/>
      <c r="B32" s="13" t="s">
        <v>164</v>
      </c>
      <c r="C32" s="28" t="s">
        <v>103</v>
      </c>
      <c r="D32" s="28"/>
      <c r="E32" s="57" t="s">
        <v>136</v>
      </c>
      <c r="F32" s="27"/>
      <c r="G32" s="37"/>
      <c r="H32" s="19"/>
      <c r="I32" s="38"/>
      <c r="J32" s="35"/>
    </row>
    <row r="33" spans="1:10" s="39" customFormat="1" x14ac:dyDescent="0.25">
      <c r="A33" s="35"/>
      <c r="B33" s="13" t="s">
        <v>136</v>
      </c>
      <c r="C33" s="27"/>
      <c r="D33" s="28"/>
      <c r="E33" s="13" t="s">
        <v>211</v>
      </c>
      <c r="F33" s="27"/>
      <c r="G33" s="37"/>
      <c r="H33" s="19"/>
      <c r="I33" s="38"/>
      <c r="J33" s="35"/>
    </row>
    <row r="34" spans="1:10" s="39" customFormat="1" x14ac:dyDescent="0.25">
      <c r="A34" s="35"/>
      <c r="B34" s="13" t="s">
        <v>211</v>
      </c>
      <c r="C34" s="27"/>
      <c r="D34" s="34"/>
      <c r="E34" s="57"/>
      <c r="F34" s="28"/>
      <c r="G34" s="34"/>
      <c r="H34" s="19"/>
      <c r="I34" s="38"/>
      <c r="J34" s="35"/>
    </row>
    <row r="35" spans="1:10" x14ac:dyDescent="0.25">
      <c r="A35"/>
      <c r="B35" s="18"/>
      <c r="C35" s="32"/>
      <c r="D35" s="32"/>
      <c r="E35" s="32"/>
      <c r="F35" s="32"/>
      <c r="G35" s="40"/>
      <c r="H35" s="19"/>
      <c r="I35" s="20"/>
      <c r="J35"/>
    </row>
    <row r="36" spans="1:10" s="49" customFormat="1" ht="15.75" x14ac:dyDescent="0.25">
      <c r="A36" s="47"/>
      <c r="B36" s="52"/>
      <c r="C36" s="50"/>
      <c r="D36" s="50"/>
      <c r="E36"/>
      <c r="F36"/>
      <c r="G36"/>
      <c r="H36" s="48"/>
      <c r="I36" s="47"/>
      <c r="J36" s="47"/>
    </row>
    <row r="37" spans="1:10" x14ac:dyDescent="0.25">
      <c r="A37"/>
      <c r="B37" s="21" t="s">
        <v>194</v>
      </c>
      <c r="C37" s="28"/>
      <c r="D37"/>
      <c r="E37"/>
      <c r="F37"/>
      <c r="G37"/>
      <c r="H37" s="19"/>
      <c r="I37" s="20"/>
      <c r="J37"/>
    </row>
    <row r="38" spans="1:10" x14ac:dyDescent="0.25">
      <c r="A38"/>
      <c r="B38" s="10" t="s">
        <v>2</v>
      </c>
      <c r="C38" s="29"/>
      <c r="D38" s="11"/>
      <c r="E38" s="11"/>
      <c r="F38" s="26"/>
      <c r="G38" s="59"/>
      <c r="H38" s="19"/>
      <c r="I38" s="20"/>
      <c r="J38"/>
    </row>
    <row r="39" spans="1:10" x14ac:dyDescent="0.25">
      <c r="A39"/>
      <c r="B39" s="13" t="s">
        <v>3</v>
      </c>
      <c r="C39" s="27"/>
      <c r="D39"/>
      <c r="E39"/>
      <c r="F39" s="28"/>
      <c r="G39" s="15"/>
      <c r="H39" s="19" t="b">
        <f t="shared" ref="H39:H42" si="0">IF(E39&lt;&gt;"","TRUE",FALSE)</f>
        <v>0</v>
      </c>
      <c r="I39" s="20"/>
      <c r="J39"/>
    </row>
    <row r="40" spans="1:10" x14ac:dyDescent="0.25">
      <c r="A40"/>
      <c r="B40" s="13" t="s">
        <v>4</v>
      </c>
      <c r="C40" s="30"/>
      <c r="D40"/>
      <c r="E40"/>
      <c r="F40" s="44"/>
      <c r="G40" s="15"/>
      <c r="H40" s="19" t="b">
        <f t="shared" si="0"/>
        <v>0</v>
      </c>
      <c r="I40" s="20"/>
      <c r="J40"/>
    </row>
    <row r="41" spans="1:10" x14ac:dyDescent="0.25">
      <c r="A41"/>
      <c r="B41" s="13" t="s">
        <v>5</v>
      </c>
      <c r="C41" s="27"/>
      <c r="D41"/>
      <c r="E41"/>
      <c r="F41" s="28"/>
      <c r="G41" s="15"/>
      <c r="H41" s="19" t="b">
        <f>IF(E41&lt;&gt;"","TRUE",FALSE)</f>
        <v>0</v>
      </c>
      <c r="I41" s="20"/>
      <c r="J41"/>
    </row>
    <row r="42" spans="1:10" x14ac:dyDescent="0.25">
      <c r="A42"/>
      <c r="B42" s="13" t="s">
        <v>7</v>
      </c>
      <c r="C42" s="27"/>
      <c r="D42"/>
      <c r="E42"/>
      <c r="F42" s="28"/>
      <c r="G42" s="15"/>
      <c r="H42" s="19" t="b">
        <f t="shared" si="0"/>
        <v>0</v>
      </c>
      <c r="I42" s="20"/>
      <c r="J42"/>
    </row>
    <row r="43" spans="1:10" x14ac:dyDescent="0.25">
      <c r="A43"/>
      <c r="B43" s="13" t="s">
        <v>104</v>
      </c>
      <c r="C43" s="27"/>
      <c r="D43"/>
      <c r="E43"/>
      <c r="F43" s="28"/>
      <c r="G43" s="15"/>
      <c r="H43" s="19"/>
      <c r="I43" s="20"/>
      <c r="J43"/>
    </row>
    <row r="44" spans="1:10" x14ac:dyDescent="0.25">
      <c r="A44"/>
      <c r="B44" s="13" t="s">
        <v>96</v>
      </c>
      <c r="C44" s="27"/>
      <c r="D44"/>
      <c r="E44"/>
      <c r="F44" s="28"/>
      <c r="G44" s="15"/>
      <c r="H44" s="19"/>
      <c r="I44" s="20"/>
      <c r="J44"/>
    </row>
    <row r="45" spans="1:10" x14ac:dyDescent="0.25">
      <c r="A45"/>
      <c r="B45" s="13" t="s">
        <v>105</v>
      </c>
      <c r="C45" s="27"/>
      <c r="D45"/>
      <c r="E45"/>
      <c r="F45" s="28"/>
      <c r="G45" s="15"/>
      <c r="H45" s="19"/>
      <c r="I45" s="20"/>
      <c r="J45"/>
    </row>
    <row r="46" spans="1:10" x14ac:dyDescent="0.25">
      <c r="A46"/>
      <c r="B46" s="13"/>
      <c r="C46" s="28"/>
      <c r="D46"/>
      <c r="E46"/>
      <c r="F46" s="28"/>
      <c r="G46" s="15"/>
      <c r="H46" s="19"/>
      <c r="I46" s="20"/>
      <c r="J46"/>
    </row>
    <row r="47" spans="1:10" x14ac:dyDescent="0.25">
      <c r="A47"/>
      <c r="B47" s="58" t="s">
        <v>8</v>
      </c>
      <c r="C47" s="28"/>
      <c r="D47"/>
      <c r="E47" s="64"/>
      <c r="F47" s="28"/>
      <c r="G47" s="15"/>
      <c r="H47" s="19" t="b">
        <f>IF(E47&lt;&gt;"","TRUE",FALSE)</f>
        <v>0</v>
      </c>
      <c r="I47" s="20"/>
      <c r="J47"/>
    </row>
    <row r="48" spans="1:10" x14ac:dyDescent="0.25">
      <c r="A48"/>
      <c r="B48" s="57" t="s">
        <v>94</v>
      </c>
      <c r="C48" s="27"/>
      <c r="D48"/>
      <c r="E48"/>
      <c r="F48" s="28"/>
      <c r="G48" s="15"/>
      <c r="H48" s="19" t="b">
        <f t="shared" ref="H48:H51" si="1">IF(E48&lt;&gt;"","TRUE",FALSE)</f>
        <v>0</v>
      </c>
      <c r="I48" s="20"/>
      <c r="J48"/>
    </row>
    <row r="49" spans="1:10" x14ac:dyDescent="0.25">
      <c r="A49"/>
      <c r="B49" s="57" t="s">
        <v>95</v>
      </c>
      <c r="C49" s="27"/>
      <c r="D49"/>
      <c r="E49"/>
      <c r="F49" s="28"/>
      <c r="G49" s="15"/>
      <c r="H49" s="19" t="b">
        <f t="shared" si="1"/>
        <v>0</v>
      </c>
      <c r="I49" s="20"/>
      <c r="J49"/>
    </row>
    <row r="50" spans="1:10" x14ac:dyDescent="0.25">
      <c r="A50"/>
      <c r="B50" s="57" t="s">
        <v>138</v>
      </c>
      <c r="C50" s="27"/>
      <c r="D50"/>
      <c r="E50"/>
      <c r="F50" s="28"/>
      <c r="G50" s="15"/>
      <c r="H50" s="19"/>
      <c r="I50" s="20"/>
      <c r="J50"/>
    </row>
    <row r="51" spans="1:10" x14ac:dyDescent="0.25">
      <c r="A51"/>
      <c r="B51" s="57" t="s">
        <v>6</v>
      </c>
      <c r="C51" s="27"/>
      <c r="D51"/>
      <c r="E51"/>
      <c r="F51" s="28"/>
      <c r="G51" s="15"/>
      <c r="H51" s="19" t="b">
        <f t="shared" si="1"/>
        <v>0</v>
      </c>
      <c r="I51" s="20" t="b">
        <f>ISERROR(VLOOKUP(C51,'Risque géographique'!$B:$B,1,FALSE))</f>
        <v>1</v>
      </c>
      <c r="J51"/>
    </row>
    <row r="52" spans="1:10" x14ac:dyDescent="0.25">
      <c r="A52"/>
      <c r="B52" s="57"/>
      <c r="C52" s="28"/>
      <c r="D52"/>
      <c r="E52"/>
      <c r="F52" s="28"/>
      <c r="G52" s="15"/>
      <c r="H52" s="19"/>
      <c r="I52" s="20">
        <f>IF(I51=FALSE,10,0)</f>
        <v>0</v>
      </c>
      <c r="J52"/>
    </row>
    <row r="53" spans="1:10" x14ac:dyDescent="0.25">
      <c r="A53"/>
      <c r="B53" s="68" t="s">
        <v>109</v>
      </c>
      <c r="C53" s="28"/>
      <c r="D53"/>
      <c r="E53" s="64"/>
      <c r="F53" s="28"/>
      <c r="G53" s="15"/>
      <c r="H53" s="19"/>
      <c r="I53" s="20"/>
      <c r="J53"/>
    </row>
    <row r="54" spans="1:10" x14ac:dyDescent="0.25">
      <c r="A54"/>
      <c r="B54" s="13" t="s">
        <v>93</v>
      </c>
      <c r="C54" s="31"/>
      <c r="D54"/>
      <c r="E54"/>
      <c r="F54" s="82"/>
      <c r="G54" s="15"/>
      <c r="H54" s="19"/>
      <c r="I54" s="20" t="b">
        <f>ISERROR(VLOOKUP(F51,'Risque géographique'!$B:$B,1,FALSE))</f>
        <v>1</v>
      </c>
      <c r="J54"/>
    </row>
    <row r="55" spans="1:10" x14ac:dyDescent="0.25">
      <c r="A55"/>
      <c r="B55" s="13" t="s">
        <v>13</v>
      </c>
      <c r="C55" s="31"/>
      <c r="D55"/>
      <c r="E55"/>
      <c r="F55" s="82"/>
      <c r="G55" s="15"/>
      <c r="H55" s="19"/>
      <c r="I55" s="20"/>
      <c r="J55"/>
    </row>
    <row r="56" spans="1:10" x14ac:dyDescent="0.25">
      <c r="A56"/>
      <c r="B56" s="18"/>
      <c r="C56" s="65"/>
      <c r="D56" s="16"/>
      <c r="E56" s="16"/>
      <c r="F56" s="65"/>
      <c r="G56" s="17"/>
      <c r="H56" s="19"/>
      <c r="I56" s="20">
        <f>IF(I54=FALSE,10,0)</f>
        <v>0</v>
      </c>
      <c r="J56"/>
    </row>
    <row r="57" spans="1:10" x14ac:dyDescent="0.25">
      <c r="A57"/>
      <c r="B57"/>
      <c r="C57"/>
      <c r="D57"/>
      <c r="E57"/>
      <c r="F57"/>
      <c r="G57"/>
      <c r="H57" s="19"/>
      <c r="I57" s="20"/>
      <c r="J57"/>
    </row>
    <row r="58" spans="1:10" x14ac:dyDescent="0.25">
      <c r="A58"/>
      <c r="B58" s="21" t="s">
        <v>208</v>
      </c>
      <c r="C58"/>
      <c r="D58"/>
      <c r="E58"/>
      <c r="F58"/>
      <c r="G58"/>
      <c r="H58" s="19"/>
      <c r="I58" s="20"/>
      <c r="J58"/>
    </row>
    <row r="59" spans="1:10" x14ac:dyDescent="0.25">
      <c r="A59"/>
      <c r="B59" s="10" t="s">
        <v>110</v>
      </c>
      <c r="C59" s="105"/>
      <c r="D59" s="26"/>
      <c r="E59" s="26"/>
      <c r="F59" s="106"/>
      <c r="G59" s="69"/>
      <c r="H59" s="19"/>
      <c r="I59" s="20"/>
      <c r="J59"/>
    </row>
    <row r="60" spans="1:10" x14ac:dyDescent="0.25">
      <c r="A60"/>
      <c r="B60" s="13" t="s">
        <v>114</v>
      </c>
      <c r="C60" s="31"/>
      <c r="D60" s="28"/>
      <c r="E60" s="28"/>
      <c r="F60" s="82"/>
      <c r="G60" s="43"/>
      <c r="H60" s="19"/>
      <c r="I60" s="20"/>
      <c r="J60"/>
    </row>
    <row r="61" spans="1:10" x14ac:dyDescent="0.25">
      <c r="A61"/>
      <c r="B61" s="13" t="s">
        <v>118</v>
      </c>
      <c r="C61" s="30"/>
      <c r="D61" s="28"/>
      <c r="E61" s="28"/>
      <c r="F61" s="44"/>
      <c r="G61" s="43"/>
      <c r="H61" s="19"/>
      <c r="I61" s="20"/>
      <c r="J61"/>
    </row>
    <row r="62" spans="1:10" x14ac:dyDescent="0.25">
      <c r="A62"/>
      <c r="B62" s="13" t="s">
        <v>119</v>
      </c>
      <c r="C62" s="30"/>
      <c r="D62" s="28"/>
      <c r="E62" s="28"/>
      <c r="F62" s="44"/>
      <c r="G62" s="43"/>
      <c r="H62" s="19"/>
      <c r="I62" s="20"/>
      <c r="J62"/>
    </row>
    <row r="63" spans="1:10" x14ac:dyDescent="0.25">
      <c r="A63"/>
      <c r="B63" s="13" t="s">
        <v>120</v>
      </c>
      <c r="C63" s="27"/>
      <c r="D63" s="28"/>
      <c r="E63" s="42"/>
      <c r="F63" s="28"/>
      <c r="G63" s="43"/>
      <c r="H63" s="19"/>
      <c r="I63" s="20"/>
      <c r="J63"/>
    </row>
    <row r="64" spans="1:10" x14ac:dyDescent="0.25">
      <c r="A64"/>
      <c r="B64" s="18"/>
      <c r="C64" s="16"/>
      <c r="D64" s="32"/>
      <c r="E64" s="32"/>
      <c r="F64" s="32"/>
      <c r="G64" s="40"/>
      <c r="H64" s="19"/>
      <c r="I64" s="20"/>
      <c r="J64"/>
    </row>
    <row r="65" spans="1:10" x14ac:dyDescent="0.25">
      <c r="A65"/>
      <c r="B65"/>
      <c r="C65"/>
      <c r="D65"/>
      <c r="E65"/>
      <c r="F65"/>
      <c r="G65"/>
      <c r="H65" s="19"/>
      <c r="I65" s="20"/>
      <c r="J65"/>
    </row>
    <row r="66" spans="1:10" x14ac:dyDescent="0.25">
      <c r="A66"/>
      <c r="B66" s="21" t="s">
        <v>174</v>
      </c>
      <c r="C66"/>
      <c r="D66"/>
      <c r="E66"/>
      <c r="F66"/>
      <c r="G66"/>
      <c r="H66" s="19"/>
      <c r="I66" s="20"/>
      <c r="J66"/>
    </row>
    <row r="67" spans="1:10" ht="15" customHeight="1" x14ac:dyDescent="0.25">
      <c r="A67"/>
      <c r="B67" s="10" t="s">
        <v>175</v>
      </c>
      <c r="C67" s="29"/>
      <c r="D67" s="85" t="s">
        <v>177</v>
      </c>
      <c r="E67" s="85"/>
      <c r="F67" s="60"/>
      <c r="G67" s="69"/>
      <c r="H67" s="19"/>
      <c r="I67" s="20"/>
      <c r="J67"/>
    </row>
    <row r="68" spans="1:10" ht="15" customHeight="1" x14ac:dyDescent="0.25">
      <c r="A68"/>
      <c r="B68" s="124" t="s">
        <v>176</v>
      </c>
      <c r="C68" s="126"/>
      <c r="D68" s="28"/>
      <c r="E68" s="28"/>
      <c r="F68" s="82"/>
      <c r="G68" s="43"/>
      <c r="H68" s="19"/>
      <c r="I68" s="20"/>
      <c r="J68"/>
    </row>
    <row r="69" spans="1:10" x14ac:dyDescent="0.25">
      <c r="A69"/>
      <c r="B69" s="125"/>
      <c r="C69" s="127"/>
      <c r="D69" s="32"/>
      <c r="E69" s="32"/>
      <c r="F69" s="65"/>
      <c r="G69" s="84"/>
      <c r="H69" s="19"/>
      <c r="I69" s="20"/>
      <c r="J69"/>
    </row>
    <row r="70" spans="1:10" x14ac:dyDescent="0.25">
      <c r="A70"/>
      <c r="B70"/>
      <c r="C70" s="28"/>
      <c r="D70" s="28"/>
      <c r="E70" s="28"/>
      <c r="F70" s="82"/>
      <c r="G70" s="42"/>
      <c r="H70" s="19"/>
      <c r="I70" s="20"/>
      <c r="J70"/>
    </row>
    <row r="71" spans="1:10" x14ac:dyDescent="0.25">
      <c r="A71"/>
      <c r="B71" s="21" t="s">
        <v>24</v>
      </c>
      <c r="C71"/>
      <c r="D71"/>
      <c r="E71"/>
      <c r="F71"/>
      <c r="G71"/>
      <c r="H71" s="19"/>
      <c r="I71" s="20"/>
      <c r="J71"/>
    </row>
    <row r="72" spans="1:10" ht="18.75" customHeight="1" x14ac:dyDescent="0.25">
      <c r="A72"/>
      <c r="B72" s="120" t="s">
        <v>121</v>
      </c>
      <c r="C72" s="122"/>
      <c r="D72" s="11"/>
      <c r="E72" s="11" t="s">
        <v>151</v>
      </c>
      <c r="F72" s="29"/>
      <c r="G72" s="33"/>
      <c r="H72" s="19"/>
      <c r="I72" s="38">
        <f>SUM(I37:I65)</f>
        <v>0</v>
      </c>
      <c r="J72"/>
    </row>
    <row r="73" spans="1:10" x14ac:dyDescent="0.25">
      <c r="A73"/>
      <c r="B73" s="121"/>
      <c r="C73" s="123"/>
      <c r="D73"/>
      <c r="E73" s="70"/>
      <c r="F73" s="27"/>
      <c r="G73" s="34"/>
      <c r="H73" s="19"/>
      <c r="I73" s="9"/>
      <c r="J73"/>
    </row>
    <row r="74" spans="1:10" x14ac:dyDescent="0.25">
      <c r="A74"/>
      <c r="B74" s="18"/>
      <c r="C74" s="16"/>
      <c r="D74" s="16"/>
      <c r="E74" s="16"/>
      <c r="F74" s="16"/>
      <c r="G74" s="17"/>
      <c r="H74" s="19"/>
      <c r="I74" s="20"/>
      <c r="J74"/>
    </row>
    <row r="75" spans="1:10" x14ac:dyDescent="0.25">
      <c r="A75"/>
      <c r="B75"/>
      <c r="C75"/>
      <c r="D75"/>
      <c r="E75"/>
      <c r="F75"/>
      <c r="G75"/>
      <c r="H75" s="19"/>
      <c r="I75" s="20"/>
      <c r="J75"/>
    </row>
    <row r="76" spans="1:10" x14ac:dyDescent="0.25">
      <c r="A76"/>
      <c r="B76" t="s">
        <v>106</v>
      </c>
      <c r="C76" s="30"/>
      <c r="D76"/>
      <c r="E76" t="s">
        <v>124</v>
      </c>
      <c r="F76"/>
      <c r="G76"/>
      <c r="H76" s="19"/>
      <c r="I76" s="20"/>
      <c r="J76"/>
    </row>
    <row r="77" spans="1:10" x14ac:dyDescent="0.25">
      <c r="A77"/>
      <c r="B77" t="s">
        <v>123</v>
      </c>
      <c r="C77" s="27"/>
      <c r="D77"/>
      <c r="E77"/>
      <c r="F77" s="9"/>
      <c r="G77"/>
      <c r="H77" s="19"/>
      <c r="I77" s="20"/>
      <c r="J77"/>
    </row>
    <row r="78" spans="1:10" ht="30" x14ac:dyDescent="0.25">
      <c r="A78"/>
      <c r="B78" s="71" t="s">
        <v>122</v>
      </c>
      <c r="C78" s="27"/>
      <c r="D78"/>
      <c r="E78"/>
      <c r="F78"/>
      <c r="G78"/>
      <c r="H78" s="19"/>
      <c r="I78" s="20"/>
      <c r="J78"/>
    </row>
    <row r="79" spans="1:10" x14ac:dyDescent="0.25">
      <c r="A79"/>
      <c r="B79"/>
      <c r="C79"/>
      <c r="D79"/>
      <c r="E79"/>
      <c r="F79"/>
      <c r="G79"/>
      <c r="H79" s="19"/>
      <c r="I79" s="20"/>
      <c r="J79"/>
    </row>
    <row r="80" spans="1:10" x14ac:dyDescent="0.25">
      <c r="A80"/>
      <c r="B80"/>
      <c r="C80"/>
      <c r="D80"/>
      <c r="E80"/>
      <c r="F80"/>
      <c r="G80"/>
      <c r="H80" s="19"/>
      <c r="I80" s="20"/>
      <c r="J80"/>
    </row>
    <row r="81" spans="1:10" x14ac:dyDescent="0.25">
      <c r="A81"/>
      <c r="B81"/>
      <c r="C81"/>
      <c r="D81"/>
      <c r="E81"/>
      <c r="F81"/>
      <c r="G81"/>
      <c r="H81" s="19"/>
      <c r="I81" s="20"/>
      <c r="J81"/>
    </row>
  </sheetData>
  <protectedRanges>
    <protectedRange sqref="F38:F44 C48:C51 C54:C56 C38:C44 F54:F56 C59:C63 F59:F63 C72 B79:B82 C76:C78 F72:G73 C13:C17 F6:F8 F10:F12 F48:F51 F68:F70 C67:C69 C7:C10" name="PP"/>
    <protectedRange sqref="C21:C27 C30:C34 F21 F24:F29 F31:F34" name="PP_2"/>
  </protectedRanges>
  <dataConsolidate/>
  <mergeCells count="4">
    <mergeCell ref="B72:B73"/>
    <mergeCell ref="C72:C73"/>
    <mergeCell ref="B68:B69"/>
    <mergeCell ref="C68:C69"/>
  </mergeCells>
  <conditionalFormatting sqref="F39:F42 F10:F12 F6:F8 F46 F48:F49 F51">
    <cfRule type="expression" dxfId="45" priority="18">
      <formula>$H6="TRUE"</formula>
    </cfRule>
  </conditionalFormatting>
  <conditionalFormatting sqref="C72">
    <cfRule type="containsText" dxfId="44" priority="13" operator="containsText" text="Risque faible">
      <formula>NOT(ISERROR(SEARCH("Risque faible",C72)))</formula>
    </cfRule>
    <cfRule type="containsText" dxfId="43" priority="14" operator="containsText" text="Risque élevé">
      <formula>NOT(ISERROR(SEARCH("Risque élevé",C72)))</formula>
    </cfRule>
    <cfRule type="containsText" dxfId="42" priority="15" operator="containsText" text="Risque moyen">
      <formula>NOT(ISERROR(SEARCH("Risque moyen",C72)))</formula>
    </cfRule>
  </conditionalFormatting>
  <conditionalFormatting sqref="E63 G59:G63">
    <cfRule type="containsText" dxfId="41" priority="16" operator="containsText" text="Relation d'affaire en suspend">
      <formula>NOT(ISERROR(SEARCH("Relation d'affaire en suspend",E59)))</formula>
    </cfRule>
    <cfRule type="containsText" dxfId="40" priority="17" operator="containsText" text="Prière de dater et signer la copie du document d'identité obtenue">
      <formula>NOT(ISERROR(SEARCH("Prière de dater et signer la copie du document d'identité obtenue",E59)))</formula>
    </cfRule>
  </conditionalFormatting>
  <conditionalFormatting sqref="G67:G70">
    <cfRule type="containsText" dxfId="39" priority="11" operator="containsText" text="Relation d'affaire en suspend">
      <formula>NOT(ISERROR(SEARCH("Relation d'affaire en suspend",G67)))</formula>
    </cfRule>
    <cfRule type="containsText" dxfId="38" priority="12" operator="containsText" text="Prière de dater et signer la copie du document d'identité obtenue">
      <formula>NOT(ISERROR(SEARCH("Prière de dater et signer la copie du document d'identité obtenue",G67)))</formula>
    </cfRule>
  </conditionalFormatting>
  <conditionalFormatting sqref="F26:F27 F29">
    <cfRule type="expression" dxfId="37" priority="3">
      <formula>$H26="TRUE"</formula>
    </cfRule>
  </conditionalFormatting>
  <conditionalFormatting sqref="F25:F29">
    <cfRule type="expression" dxfId="36" priority="4">
      <formula>#REF!="TRUE"</formula>
    </cfRule>
  </conditionalFormatting>
  <conditionalFormatting sqref="F31:F33">
    <cfRule type="expression" dxfId="35" priority="5">
      <formula>$H26="TRUE"</formula>
    </cfRule>
  </conditionalFormatting>
  <conditionalFormatting sqref="F25 F28">
    <cfRule type="expression" dxfId="34" priority="6">
      <formula>$H26="TRUE"</formula>
    </cfRule>
  </conditionalFormatting>
  <conditionalFormatting sqref="F28">
    <cfRule type="expression" dxfId="33" priority="7">
      <formula>$H27="TRUE"</formula>
    </cfRule>
  </conditionalFormatting>
  <conditionalFormatting sqref="F34">
    <cfRule type="expression" dxfId="32" priority="1">
      <formula>$H34="TRUE"</formula>
    </cfRule>
  </conditionalFormatting>
  <conditionalFormatting sqref="F34">
    <cfRule type="expression" dxfId="31" priority="2">
      <formula>#REF!="TRUE"</formula>
    </cfRule>
  </conditionalFormatting>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mpression">
                <anchor moveWithCells="1" sizeWithCells="1">
                  <from>
                    <xdr:col>0</xdr:col>
                    <xdr:colOff>228600</xdr:colOff>
                    <xdr:row>79</xdr:row>
                    <xdr:rowOff>19050</xdr:rowOff>
                  </from>
                  <to>
                    <xdr:col>2</xdr:col>
                    <xdr:colOff>0</xdr:colOff>
                    <xdr:row>81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1A661E4F-894A-4144-B970-4FF8EB494BE0}">
          <x14:formula1>
            <xm:f>Options!$M$5:$M$8</xm:f>
          </x14:formula1>
          <xm:sqref>C27 F28</xm:sqref>
        </x14:dataValidation>
        <x14:dataValidation type="list" allowBlank="1" showInputMessage="1" showErrorMessage="1" xr:uid="{D7B25FE0-2A4F-4BA7-A74D-7312A31462B2}">
          <x14:formula1>
            <xm:f>Options!$I$16:$I$20</xm:f>
          </x14:formula1>
          <xm:sqref>C26 F25</xm:sqref>
        </x14:dataValidation>
        <x14:dataValidation type="list" showInputMessage="1" showErrorMessage="1" xr:uid="{7084EEC4-A1A7-4708-9B69-26773B4B6395}">
          <x14:formula1>
            <xm:f>Options!$J$5:$J$12</xm:f>
          </x14:formula1>
          <xm:sqref>C7</xm:sqref>
        </x14:dataValidation>
        <x14:dataValidation type="list" allowBlank="1" showInputMessage="1" showErrorMessage="1" xr:uid="{1CFB5D28-1EC4-4F1A-86AE-0AF15E7D0577}">
          <x14:formula1>
            <xm:f>Options!$F$11:$F$16</xm:f>
          </x14:formula1>
          <xm:sqref>C8</xm:sqref>
        </x14:dataValidation>
        <x14:dataValidation type="list" allowBlank="1" showInputMessage="1" showErrorMessage="1" xr:uid="{0C6893CD-2F43-4293-BDAD-B4EDB0FD4BAB}">
          <x14:formula1>
            <xm:f>Options!$E$36:$E$38</xm:f>
          </x14:formula1>
          <xm:sqref>C60 F60 F69:F70</xm:sqref>
        </x14:dataValidation>
        <x14:dataValidation type="list" allowBlank="1" showInputMessage="1" showErrorMessage="1" xr:uid="{0CC411A5-669D-433F-A1EA-146ADB346212}">
          <x14:formula1>
            <xm:f>Options!$E$32:$E$33</xm:f>
          </x14:formula1>
          <xm:sqref>C59 F59 F68</xm:sqref>
        </x14:dataValidation>
        <x14:dataValidation type="list" allowBlank="1" showInputMessage="1" showErrorMessage="1" xr:uid="{534B7F45-64BD-4D5F-9F9E-F7E1856CEF4A}">
          <x14:formula1>
            <xm:f>Options!$B$24:$B$28</xm:f>
          </x14:formula1>
          <xm:sqref>C25 C29 F24</xm:sqref>
        </x14:dataValidation>
        <x14:dataValidation type="list" allowBlank="1" showInputMessage="1" showErrorMessage="1" xr:uid="{8DC0ADC3-18DD-49A7-9702-4FF0132E1CE5}">
          <x14:formula1>
            <xm:f>Options!$C$19:$C$21</xm:f>
          </x14:formula1>
          <xm:sqref>C72</xm:sqref>
        </x14:dataValidation>
        <x14:dataValidation type="list" allowBlank="1" showInputMessage="1" showErrorMessage="1" xr:uid="{D4AA8F23-4D0E-41AE-B181-DAC4A6B8D296}">
          <x14:formula1>
            <xm:f>Options!$F$5:$F$6</xm:f>
          </x14:formula1>
          <xm:sqref>C63 F63 C67</xm:sqref>
        </x14:dataValidation>
        <x14:dataValidation type="list" showInputMessage="1" showErrorMessage="1" xr:uid="{EBAA4501-72FB-4221-BB14-B36D74E77BDB}">
          <x14:formula1>
            <xm:f>Options!$C$5:$C$6</xm:f>
          </x14:formula1>
          <xm:sqref>F45</xm:sqref>
        </x14:dataValidation>
        <x14:dataValidation type="list" showInputMessage="1" showErrorMessage="1" xr:uid="{57CB5730-241F-45E2-8C01-741760EA4879}">
          <x14:formula1>
            <xm:f>Options!$C$5:$C$8</xm:f>
          </x14:formula1>
          <xm:sqref>C45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2878D-BD3A-4050-A032-1B8EC5DF565C}">
  <sheetPr codeName="Sheet9">
    <tabColor theme="9" tint="-0.249977111117893"/>
  </sheetPr>
  <dimension ref="A1:R75"/>
  <sheetViews>
    <sheetView showGridLines="0" zoomScale="85" zoomScaleNormal="85" zoomScaleSheetLayoutView="100" workbookViewId="0">
      <selection activeCell="P13" sqref="P13"/>
    </sheetView>
  </sheetViews>
  <sheetFormatPr defaultColWidth="9.140625" defaultRowHeight="15" x14ac:dyDescent="0.25"/>
  <cols>
    <col min="1" max="1" width="3.5703125" style="12" customWidth="1"/>
    <col min="2" max="2" width="31.42578125" style="12" customWidth="1"/>
    <col min="3" max="3" width="39.140625" style="12" customWidth="1"/>
    <col min="4" max="4" width="4.28515625" style="12" customWidth="1"/>
    <col min="5" max="5" width="31.7109375" style="12" customWidth="1"/>
    <col min="6" max="6" width="36.42578125" style="12" customWidth="1"/>
    <col min="7" max="7" width="21.5703125" style="12" customWidth="1"/>
    <col min="8" max="8" width="7.42578125" style="45" hidden="1" customWidth="1"/>
    <col min="9" max="9" width="9.42578125" style="46" hidden="1" customWidth="1"/>
    <col min="10" max="10" width="2.8554687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172</v>
      </c>
      <c r="C2" s="41"/>
      <c r="D2" s="41"/>
      <c r="E2" s="41"/>
      <c r="F2" s="53"/>
      <c r="G2" s="56" t="s">
        <v>153</v>
      </c>
      <c r="H2" s="22"/>
      <c r="I2" s="23"/>
      <c r="J2" s="21"/>
    </row>
    <row r="3" spans="1:18" s="24" customFormat="1" ht="15.75" x14ac:dyDescent="0.25">
      <c r="A3" s="21"/>
      <c r="B3" s="25"/>
      <c r="C3" s="41"/>
      <c r="D3" s="41"/>
      <c r="E3"/>
      <c r="F3"/>
      <c r="G3" s="54"/>
      <c r="H3" s="22"/>
      <c r="I3" s="23"/>
      <c r="J3" s="21"/>
    </row>
    <row r="4" spans="1:18" s="49" customFormat="1" ht="15.75" x14ac:dyDescent="0.25">
      <c r="A4" s="47"/>
      <c r="B4" s="52"/>
      <c r="C4" s="50"/>
      <c r="D4" s="50"/>
      <c r="E4"/>
      <c r="F4"/>
      <c r="G4" s="55"/>
      <c r="H4" s="48"/>
      <c r="I4" s="47"/>
      <c r="J4" s="47"/>
    </row>
    <row r="5" spans="1:18" x14ac:dyDescent="0.25">
      <c r="A5"/>
      <c r="B5" s="21" t="s">
        <v>128</v>
      </c>
      <c r="C5"/>
      <c r="D5"/>
      <c r="E5"/>
      <c r="F5"/>
      <c r="G5"/>
      <c r="H5" s="19"/>
      <c r="I5" s="20"/>
      <c r="J5"/>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x14ac:dyDescent="0.25">
      <c r="A30"/>
      <c r="B30"/>
      <c r="C30" s="28"/>
      <c r="D30" s="28"/>
      <c r="E30" s="28"/>
      <c r="F30" s="28"/>
      <c r="G30" s="28"/>
      <c r="H30" s="19"/>
      <c r="I30" s="20"/>
      <c r="J30"/>
    </row>
    <row r="31" spans="1:10" x14ac:dyDescent="0.25">
      <c r="A31"/>
      <c r="B31" s="21" t="s">
        <v>194</v>
      </c>
      <c r="C31" s="28"/>
      <c r="D31"/>
      <c r="E31"/>
      <c r="F31"/>
      <c r="G31"/>
      <c r="H31" s="19"/>
      <c r="I31" s="20"/>
      <c r="J31"/>
    </row>
    <row r="32" spans="1:10" x14ac:dyDescent="0.25">
      <c r="A32"/>
      <c r="B32" s="10" t="s">
        <v>2</v>
      </c>
      <c r="C32" s="29"/>
      <c r="D32" s="11"/>
      <c r="E32" s="11"/>
      <c r="F32" s="26"/>
      <c r="G32" s="59"/>
      <c r="H32" s="19"/>
      <c r="I32" s="20"/>
      <c r="J32"/>
    </row>
    <row r="33" spans="1:10" x14ac:dyDescent="0.25">
      <c r="A33"/>
      <c r="B33" s="13" t="s">
        <v>3</v>
      </c>
      <c r="C33" s="27"/>
      <c r="D33"/>
      <c r="E33"/>
      <c r="F33" s="28"/>
      <c r="G33" s="15"/>
      <c r="H33" s="19" t="b">
        <f t="shared" ref="H33:H36" si="0">IF(E33&lt;&gt;"","TRUE",FALSE)</f>
        <v>0</v>
      </c>
      <c r="I33" s="20"/>
      <c r="J33"/>
    </row>
    <row r="34" spans="1:10" x14ac:dyDescent="0.25">
      <c r="A34"/>
      <c r="B34" s="13" t="s">
        <v>4</v>
      </c>
      <c r="C34" s="30"/>
      <c r="D34"/>
      <c r="E34"/>
      <c r="F34" s="44"/>
      <c r="G34" s="15"/>
      <c r="H34" s="19" t="b">
        <f t="shared" si="0"/>
        <v>0</v>
      </c>
      <c r="I34" s="20"/>
      <c r="J34"/>
    </row>
    <row r="35" spans="1:10" x14ac:dyDescent="0.25">
      <c r="A35"/>
      <c r="B35" s="13" t="s">
        <v>5</v>
      </c>
      <c r="C35" s="27"/>
      <c r="D35"/>
      <c r="E35"/>
      <c r="F35" s="28"/>
      <c r="G35" s="15"/>
      <c r="H35" s="19" t="b">
        <f>IF(E35&lt;&gt;"","TRUE",FALSE)</f>
        <v>0</v>
      </c>
      <c r="I35" s="20"/>
      <c r="J35"/>
    </row>
    <row r="36" spans="1:10" x14ac:dyDescent="0.25">
      <c r="A36"/>
      <c r="B36" s="13" t="s">
        <v>7</v>
      </c>
      <c r="C36" s="27"/>
      <c r="D36"/>
      <c r="E36"/>
      <c r="F36" s="28"/>
      <c r="G36" s="15"/>
      <c r="H36" s="19" t="b">
        <f t="shared" si="0"/>
        <v>0</v>
      </c>
      <c r="I36" s="20"/>
      <c r="J36"/>
    </row>
    <row r="37" spans="1:10" x14ac:dyDescent="0.25">
      <c r="A37"/>
      <c r="B37" s="13" t="s">
        <v>104</v>
      </c>
      <c r="C37" s="27"/>
      <c r="D37"/>
      <c r="E37"/>
      <c r="F37" s="28"/>
      <c r="G37" s="15"/>
      <c r="H37" s="19"/>
      <c r="I37" s="20"/>
      <c r="J37"/>
    </row>
    <row r="38" spans="1:10" x14ac:dyDescent="0.25">
      <c r="A38"/>
      <c r="B38" s="13" t="s">
        <v>96</v>
      </c>
      <c r="C38" s="27"/>
      <c r="D38"/>
      <c r="E38"/>
      <c r="F38" s="28"/>
      <c r="G38" s="15"/>
      <c r="H38" s="19"/>
      <c r="I38" s="20"/>
      <c r="J38"/>
    </row>
    <row r="39" spans="1:10" x14ac:dyDescent="0.25">
      <c r="A39"/>
      <c r="B39" s="13" t="s">
        <v>105</v>
      </c>
      <c r="C39" s="27"/>
      <c r="D39"/>
      <c r="E39"/>
      <c r="F39" s="28"/>
      <c r="G39" s="15"/>
      <c r="H39" s="19"/>
      <c r="I39" s="20"/>
      <c r="J39"/>
    </row>
    <row r="40" spans="1:10" x14ac:dyDescent="0.25">
      <c r="A40"/>
      <c r="B40" s="13"/>
      <c r="C40" s="28"/>
      <c r="D40"/>
      <c r="E40"/>
      <c r="F40" s="28"/>
      <c r="G40" s="15"/>
      <c r="H40" s="19"/>
      <c r="I40" s="20"/>
      <c r="J40"/>
    </row>
    <row r="41" spans="1:10" x14ac:dyDescent="0.25">
      <c r="A41"/>
      <c r="B41" s="58" t="s">
        <v>8</v>
      </c>
      <c r="C41" s="28"/>
      <c r="D41"/>
      <c r="E41" s="64"/>
      <c r="F41" s="28"/>
      <c r="G41" s="15"/>
      <c r="H41" s="19" t="b">
        <f>IF(E41&lt;&gt;"","TRUE",FALSE)</f>
        <v>0</v>
      </c>
      <c r="I41" s="20"/>
      <c r="J41"/>
    </row>
    <row r="42" spans="1:10" x14ac:dyDescent="0.25">
      <c r="A42"/>
      <c r="B42" s="57" t="s">
        <v>94</v>
      </c>
      <c r="C42" s="27"/>
      <c r="D42"/>
      <c r="E42"/>
      <c r="F42" s="28"/>
      <c r="G42" s="15"/>
      <c r="H42" s="19" t="b">
        <f t="shared" ref="H42:H45" si="1">IF(E42&lt;&gt;"","TRUE",FALSE)</f>
        <v>0</v>
      </c>
      <c r="I42" s="20"/>
      <c r="J42"/>
    </row>
    <row r="43" spans="1:10" x14ac:dyDescent="0.25">
      <c r="A43"/>
      <c r="B43" s="57" t="s">
        <v>95</v>
      </c>
      <c r="C43" s="27"/>
      <c r="D43"/>
      <c r="E43"/>
      <c r="F43" s="28"/>
      <c r="G43" s="15"/>
      <c r="H43" s="19" t="b">
        <f t="shared" si="1"/>
        <v>0</v>
      </c>
      <c r="I43" s="20"/>
      <c r="J43"/>
    </row>
    <row r="44" spans="1:10" x14ac:dyDescent="0.25">
      <c r="A44"/>
      <c r="B44" s="57" t="s">
        <v>138</v>
      </c>
      <c r="C44" s="27"/>
      <c r="D44"/>
      <c r="E44"/>
      <c r="F44" s="28"/>
      <c r="G44" s="15"/>
      <c r="H44" s="19"/>
      <c r="I44" s="20"/>
      <c r="J44"/>
    </row>
    <row r="45" spans="1:10" x14ac:dyDescent="0.25">
      <c r="A45"/>
      <c r="B45" s="57" t="s">
        <v>6</v>
      </c>
      <c r="C45" s="27"/>
      <c r="D45"/>
      <c r="E45"/>
      <c r="F45" s="28"/>
      <c r="G45" s="15"/>
      <c r="H45" s="19" t="b">
        <f t="shared" si="1"/>
        <v>0</v>
      </c>
      <c r="I45" s="20" t="b">
        <f>ISERROR(VLOOKUP(C45,'Risque géographique'!$B:$B,1,FALSE))</f>
        <v>1</v>
      </c>
      <c r="J45"/>
    </row>
    <row r="46" spans="1:10" x14ac:dyDescent="0.25">
      <c r="A46"/>
      <c r="B46" s="57"/>
      <c r="C46" s="28"/>
      <c r="D46"/>
      <c r="E46"/>
      <c r="F46" s="28"/>
      <c r="G46" s="15"/>
      <c r="H46" s="19"/>
      <c r="I46" s="20">
        <f>IF(I45=FALSE,10,0)</f>
        <v>0</v>
      </c>
      <c r="J46"/>
    </row>
    <row r="47" spans="1:10" x14ac:dyDescent="0.25">
      <c r="A47"/>
      <c r="B47" s="68" t="s">
        <v>109</v>
      </c>
      <c r="C47" s="28"/>
      <c r="D47"/>
      <c r="E47" s="64"/>
      <c r="F47" s="28"/>
      <c r="G47" s="15"/>
      <c r="H47" s="19"/>
      <c r="I47" s="20"/>
      <c r="J47"/>
    </row>
    <row r="48" spans="1:10" x14ac:dyDescent="0.25">
      <c r="A48"/>
      <c r="B48" s="13" t="s">
        <v>93</v>
      </c>
      <c r="C48" s="31"/>
      <c r="D48"/>
      <c r="E48"/>
      <c r="F48" s="82"/>
      <c r="G48" s="15"/>
      <c r="H48" s="19"/>
      <c r="I48" s="20" t="b">
        <f>ISERROR(VLOOKUP(F45,'Risque géographique'!$B:$B,1,FALSE))</f>
        <v>1</v>
      </c>
      <c r="J48"/>
    </row>
    <row r="49" spans="1:10" x14ac:dyDescent="0.25">
      <c r="A49"/>
      <c r="B49" s="13" t="s">
        <v>13</v>
      </c>
      <c r="C49" s="31"/>
      <c r="D49"/>
      <c r="E49"/>
      <c r="F49" s="82"/>
      <c r="G49" s="15"/>
      <c r="H49" s="19"/>
      <c r="I49" s="20"/>
      <c r="J49"/>
    </row>
    <row r="50" spans="1:10" x14ac:dyDescent="0.25">
      <c r="A50"/>
      <c r="B50" s="18"/>
      <c r="C50" s="65"/>
      <c r="D50" s="16"/>
      <c r="E50" s="16"/>
      <c r="F50" s="65"/>
      <c r="G50" s="17"/>
      <c r="H50" s="19"/>
      <c r="I50" s="20">
        <f>IF(I48=FALSE,10,0)</f>
        <v>0</v>
      </c>
      <c r="J50"/>
    </row>
    <row r="51" spans="1:10" x14ac:dyDescent="0.25">
      <c r="A51"/>
      <c r="B51"/>
      <c r="C51"/>
      <c r="D51"/>
      <c r="E51"/>
      <c r="F51"/>
      <c r="G51"/>
      <c r="H51" s="19"/>
      <c r="I51" s="20"/>
      <c r="J51"/>
    </row>
    <row r="52" spans="1:10" x14ac:dyDescent="0.25">
      <c r="A52"/>
      <c r="B52" s="21" t="s">
        <v>208</v>
      </c>
      <c r="C52"/>
      <c r="D52"/>
      <c r="E52"/>
      <c r="F52"/>
      <c r="G52"/>
      <c r="H52" s="19"/>
      <c r="I52" s="20"/>
      <c r="J52"/>
    </row>
    <row r="53" spans="1:10" x14ac:dyDescent="0.25">
      <c r="A53"/>
      <c r="B53" s="10" t="s">
        <v>110</v>
      </c>
      <c r="C53" s="105"/>
      <c r="D53" s="26"/>
      <c r="E53" s="26"/>
      <c r="F53" s="106"/>
      <c r="G53" s="69"/>
      <c r="H53" s="19"/>
      <c r="I53" s="20"/>
      <c r="J53"/>
    </row>
    <row r="54" spans="1:10" x14ac:dyDescent="0.25">
      <c r="A54"/>
      <c r="B54" s="13" t="s">
        <v>114</v>
      </c>
      <c r="C54" s="31"/>
      <c r="D54" s="28"/>
      <c r="E54" s="28"/>
      <c r="F54" s="82"/>
      <c r="G54" s="43"/>
      <c r="H54" s="19"/>
      <c r="I54" s="20"/>
      <c r="J54"/>
    </row>
    <row r="55" spans="1:10" x14ac:dyDescent="0.25">
      <c r="A55"/>
      <c r="B55" s="13" t="s">
        <v>118</v>
      </c>
      <c r="C55" s="30"/>
      <c r="D55" s="28"/>
      <c r="E55" s="28"/>
      <c r="F55" s="44"/>
      <c r="G55" s="43"/>
      <c r="H55" s="19"/>
      <c r="I55" s="20"/>
      <c r="J55"/>
    </row>
    <row r="56" spans="1:10" x14ac:dyDescent="0.25">
      <c r="A56"/>
      <c r="B56" s="13" t="s">
        <v>119</v>
      </c>
      <c r="C56" s="30"/>
      <c r="D56" s="28"/>
      <c r="E56" s="28"/>
      <c r="F56" s="44"/>
      <c r="G56" s="43"/>
      <c r="H56" s="19"/>
      <c r="I56" s="20"/>
      <c r="J56"/>
    </row>
    <row r="57" spans="1:10" x14ac:dyDescent="0.25">
      <c r="A57"/>
      <c r="B57" s="13" t="s">
        <v>120</v>
      </c>
      <c r="C57" s="27"/>
      <c r="D57" s="28"/>
      <c r="E57" s="42"/>
      <c r="F57" s="28"/>
      <c r="G57" s="43"/>
      <c r="H57" s="19"/>
      <c r="I57" s="20"/>
      <c r="J57"/>
    </row>
    <row r="58" spans="1:10" x14ac:dyDescent="0.25">
      <c r="A58"/>
      <c r="B58" s="18"/>
      <c r="C58" s="16"/>
      <c r="D58" s="32"/>
      <c r="E58" s="32"/>
      <c r="F58" s="32"/>
      <c r="G58" s="40"/>
      <c r="H58" s="19"/>
      <c r="I58" s="20"/>
      <c r="J58"/>
    </row>
    <row r="59" spans="1:10" x14ac:dyDescent="0.25">
      <c r="A59"/>
      <c r="B59"/>
      <c r="C59"/>
      <c r="D59"/>
      <c r="E59"/>
      <c r="F59"/>
      <c r="G59"/>
      <c r="H59" s="19"/>
      <c r="I59" s="20"/>
      <c r="J59"/>
    </row>
    <row r="60" spans="1:10" x14ac:dyDescent="0.25">
      <c r="A60"/>
      <c r="B60" s="21" t="s">
        <v>174</v>
      </c>
      <c r="C60"/>
      <c r="D60"/>
      <c r="E60"/>
      <c r="F60"/>
      <c r="G60"/>
      <c r="H60" s="19"/>
      <c r="I60" s="20"/>
      <c r="J60"/>
    </row>
    <row r="61" spans="1:10" ht="15" customHeight="1" x14ac:dyDescent="0.25">
      <c r="A61"/>
      <c r="B61" s="10" t="s">
        <v>175</v>
      </c>
      <c r="C61" s="29"/>
      <c r="D61" s="85" t="s">
        <v>177</v>
      </c>
      <c r="E61" s="85"/>
      <c r="F61" s="60"/>
      <c r="G61" s="69"/>
      <c r="H61" s="19"/>
      <c r="I61" s="20"/>
      <c r="J61"/>
    </row>
    <row r="62" spans="1:10" ht="15" customHeight="1" x14ac:dyDescent="0.25">
      <c r="A62"/>
      <c r="B62" s="124" t="s">
        <v>176</v>
      </c>
      <c r="C62" s="126"/>
      <c r="D62" s="28"/>
      <c r="E62" s="28"/>
      <c r="F62" s="82"/>
      <c r="G62" s="43"/>
      <c r="H62" s="19"/>
      <c r="I62" s="20"/>
      <c r="J62"/>
    </row>
    <row r="63" spans="1:10" x14ac:dyDescent="0.25">
      <c r="A63"/>
      <c r="B63" s="125"/>
      <c r="C63" s="127"/>
      <c r="D63" s="32"/>
      <c r="E63" s="32"/>
      <c r="F63" s="65"/>
      <c r="G63" s="84"/>
      <c r="H63" s="19"/>
      <c r="I63" s="20"/>
      <c r="J63"/>
    </row>
    <row r="64" spans="1:10" x14ac:dyDescent="0.25">
      <c r="A64"/>
      <c r="B64"/>
      <c r="C64" s="28"/>
      <c r="D64" s="28"/>
      <c r="E64" s="28"/>
      <c r="F64" s="82"/>
      <c r="G64" s="42"/>
      <c r="H64" s="19"/>
      <c r="I64" s="20"/>
      <c r="J64"/>
    </row>
    <row r="65" spans="1:10" x14ac:dyDescent="0.25">
      <c r="A65"/>
      <c r="B65" s="21" t="s">
        <v>24</v>
      </c>
      <c r="C65"/>
      <c r="D65"/>
      <c r="E65"/>
      <c r="F65"/>
      <c r="G65"/>
      <c r="H65" s="19"/>
      <c r="I65" s="20"/>
      <c r="J65"/>
    </row>
    <row r="66" spans="1:10" ht="18.75" customHeight="1" x14ac:dyDescent="0.25">
      <c r="A66"/>
      <c r="B66" s="120" t="s">
        <v>121</v>
      </c>
      <c r="C66" s="122"/>
      <c r="D66" s="11"/>
      <c r="E66" s="11" t="s">
        <v>151</v>
      </c>
      <c r="F66" s="29"/>
      <c r="G66" s="33"/>
      <c r="H66" s="19"/>
      <c r="I66" s="38">
        <f>SUM(I31:I59)</f>
        <v>0</v>
      </c>
      <c r="J66"/>
    </row>
    <row r="67" spans="1:10" x14ac:dyDescent="0.25">
      <c r="A67"/>
      <c r="B67" s="121"/>
      <c r="C67" s="123"/>
      <c r="D67"/>
      <c r="E67" s="70"/>
      <c r="F67" s="27"/>
      <c r="G67" s="34"/>
      <c r="H67" s="19"/>
      <c r="I67" s="9"/>
      <c r="J67"/>
    </row>
    <row r="68" spans="1:10" x14ac:dyDescent="0.25">
      <c r="A68"/>
      <c r="B68" s="18"/>
      <c r="C68" s="16"/>
      <c r="D68" s="16"/>
      <c r="E68" s="16"/>
      <c r="F68" s="16"/>
      <c r="G68" s="17"/>
      <c r="H68" s="19"/>
      <c r="I68" s="20"/>
      <c r="J68"/>
    </row>
    <row r="69" spans="1:10" x14ac:dyDescent="0.25">
      <c r="A69"/>
      <c r="B69"/>
      <c r="C69"/>
      <c r="D69"/>
      <c r="E69"/>
      <c r="F69"/>
      <c r="G69"/>
      <c r="H69" s="19"/>
      <c r="I69" s="20"/>
      <c r="J69"/>
    </row>
    <row r="70" spans="1:10" x14ac:dyDescent="0.25">
      <c r="A70"/>
      <c r="B70" t="s">
        <v>106</v>
      </c>
      <c r="C70" s="30"/>
      <c r="D70"/>
      <c r="E70" t="s">
        <v>124</v>
      </c>
      <c r="F70"/>
      <c r="G70"/>
      <c r="H70" s="19"/>
      <c r="I70" s="20"/>
      <c r="J70"/>
    </row>
    <row r="71" spans="1:10" x14ac:dyDescent="0.25">
      <c r="A71"/>
      <c r="B71" t="s">
        <v>123</v>
      </c>
      <c r="C71" s="27"/>
      <c r="D71"/>
      <c r="E71"/>
      <c r="F71" s="9"/>
      <c r="G71"/>
      <c r="H71" s="19"/>
      <c r="I71" s="20"/>
      <c r="J71"/>
    </row>
    <row r="72" spans="1:10" ht="30" x14ac:dyDescent="0.25">
      <c r="A72"/>
      <c r="B72" s="71" t="s">
        <v>122</v>
      </c>
      <c r="C72" s="27"/>
      <c r="D72"/>
      <c r="E72"/>
      <c r="F72"/>
      <c r="G72"/>
      <c r="H72" s="19"/>
      <c r="I72" s="20"/>
      <c r="J72"/>
    </row>
    <row r="73" spans="1:10" x14ac:dyDescent="0.25">
      <c r="A73"/>
      <c r="B73"/>
      <c r="C73"/>
      <c r="D73"/>
      <c r="E73"/>
      <c r="F73"/>
      <c r="G73"/>
      <c r="H73" s="19"/>
      <c r="I73" s="20"/>
      <c r="J73"/>
    </row>
    <row r="74" spans="1:10" x14ac:dyDescent="0.25">
      <c r="A74"/>
      <c r="B74"/>
      <c r="C74"/>
      <c r="D74"/>
      <c r="E74"/>
      <c r="F74"/>
      <c r="G74"/>
      <c r="H74" s="19"/>
      <c r="I74" s="20"/>
      <c r="J74"/>
    </row>
    <row r="75" spans="1:10" x14ac:dyDescent="0.25">
      <c r="A75"/>
      <c r="B75"/>
      <c r="C75"/>
      <c r="D75"/>
      <c r="E75"/>
      <c r="F75"/>
      <c r="G75"/>
      <c r="H75" s="19"/>
      <c r="I75" s="20"/>
      <c r="J75"/>
    </row>
  </sheetData>
  <protectedRanges>
    <protectedRange sqref="F32:F38 C42:C45 C48:C50 C32:C38 F48:F50 C53:C57 F53:F57 C66 B73:B76 C70:C72 F66:G67 F42:F45 F62:F64 C61:C63" name="PP"/>
    <protectedRange sqref="C13:C17 F6:F8 F10:F12 C7:C10 C27:C28 C21:C24" name="PP_1"/>
    <protectedRange sqref="Q11 Q13:Q15" name="PP_1_1"/>
  </protectedRanges>
  <dataConsolidate/>
  <mergeCells count="4">
    <mergeCell ref="B62:B63"/>
    <mergeCell ref="C62:C63"/>
    <mergeCell ref="B66:B67"/>
    <mergeCell ref="C66:C67"/>
  </mergeCells>
  <conditionalFormatting sqref="F33:F36 F40 F42:F43 F45">
    <cfRule type="expression" dxfId="30" priority="17">
      <formula>$H33="TRUE"</formula>
    </cfRule>
  </conditionalFormatting>
  <conditionalFormatting sqref="C66">
    <cfRule type="containsText" dxfId="29" priority="12" operator="containsText" text="Risque faible">
      <formula>NOT(ISERROR(SEARCH("Risque faible",C66)))</formula>
    </cfRule>
    <cfRule type="containsText" dxfId="28" priority="13" operator="containsText" text="Risque élevé">
      <formula>NOT(ISERROR(SEARCH("Risque élevé",C66)))</formula>
    </cfRule>
    <cfRule type="containsText" dxfId="27" priority="14" operator="containsText" text="Risque moyen">
      <formula>NOT(ISERROR(SEARCH("Risque moyen",C66)))</formula>
    </cfRule>
  </conditionalFormatting>
  <conditionalFormatting sqref="E57 G53:G57">
    <cfRule type="containsText" dxfId="26" priority="15" operator="containsText" text="Relation d'affaire en suspend">
      <formula>NOT(ISERROR(SEARCH("Relation d'affaire en suspend",E53)))</formula>
    </cfRule>
    <cfRule type="containsText" dxfId="25" priority="16" operator="containsText" text="Prière de dater et signer la copie du document d'identité obtenue">
      <formula>NOT(ISERROR(SEARCH("Prière de dater et signer la copie du document d'identité obtenue",E53)))</formula>
    </cfRule>
  </conditionalFormatting>
  <conditionalFormatting sqref="G61:G64">
    <cfRule type="containsText" dxfId="24" priority="10" operator="containsText" text="Relation d'affaire en suspend">
      <formula>NOT(ISERROR(SEARCH("Relation d'affaire en suspend",G61)))</formula>
    </cfRule>
    <cfRule type="containsText" dxfId="23" priority="11" operator="containsText" text="Prière de dater et signer la copie du document d'identité obtenue">
      <formula>NOT(ISERROR(SEARCH("Prière de dater et signer la copie du document d'identité obtenue",G61)))</formula>
    </cfRule>
  </conditionalFormatting>
  <conditionalFormatting sqref="F10:F12 F6:F8">
    <cfRule type="expression" dxfId="22" priority="2">
      <formula>$H6="TRUE"</formula>
    </cfRule>
  </conditionalFormatting>
  <conditionalFormatting sqref="Q13:Q15 Q11">
    <cfRule type="expression" dxfId="21" priority="1">
      <formula>$H11="TRUE"</formula>
    </cfRule>
  </conditionalFormatting>
  <dataValidations count="2">
    <dataValidation type="list" allowBlank="1" showInputMessage="1" showErrorMessage="1" sqref="C23" xr:uid="{CD531EA3-21B7-44A5-903A-683F436208F7}">
      <formula1>$R$11:$R$14</formula1>
    </dataValidation>
    <dataValidation type="list" allowBlank="1" showInputMessage="1" showErrorMessage="1" sqref="C8" xr:uid="{910F9A64-6D67-4713-A107-03F583C14FF8}">
      <formula1>$Q$11:$Q$15</formula1>
    </dataValidation>
  </dataValidations>
  <pageMargins left="0.7" right="0.7" top="0.75" bottom="0.75" header="0.3" footer="0.3"/>
  <pageSetup paperSize="9" scale="52"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Impression">
                <anchor moveWithCells="1" sizeWithCells="1">
                  <from>
                    <xdr:col>0</xdr:col>
                    <xdr:colOff>228600</xdr:colOff>
                    <xdr:row>73</xdr:row>
                    <xdr:rowOff>19050</xdr:rowOff>
                  </from>
                  <to>
                    <xdr:col>2</xdr:col>
                    <xdr:colOff>0</xdr:colOff>
                    <xdr:row>75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showInputMessage="1" showErrorMessage="1" xr:uid="{F1B99D18-A956-41EF-8077-01899DBB4B76}">
          <x14:formula1>
            <xm:f>Options!$C$5:$C$8</xm:f>
          </x14:formula1>
          <xm:sqref>C39</xm:sqref>
        </x14:dataValidation>
        <x14:dataValidation type="list" showInputMessage="1" showErrorMessage="1" xr:uid="{8B44E994-745D-4612-AA33-C366CC882DC0}">
          <x14:formula1>
            <xm:f>Options!$C$5:$C$6</xm:f>
          </x14:formula1>
          <xm:sqref>F39</xm:sqref>
        </x14:dataValidation>
        <x14:dataValidation type="list" allowBlank="1" showInputMessage="1" showErrorMessage="1" xr:uid="{A2D0A257-2802-4854-BE0A-3ABCFAF8FF05}">
          <x14:formula1>
            <xm:f>Options!$F$5:$F$6</xm:f>
          </x14:formula1>
          <xm:sqref>C57 F57 C61</xm:sqref>
        </x14:dataValidation>
        <x14:dataValidation type="list" allowBlank="1" showInputMessage="1" showErrorMessage="1" xr:uid="{6EB767F0-0FB0-48C5-8C69-3A41F643E4E3}">
          <x14:formula1>
            <xm:f>Options!$C$19:$C$21</xm:f>
          </x14:formula1>
          <xm:sqref>C66</xm:sqref>
        </x14:dataValidation>
        <x14:dataValidation type="list" allowBlank="1" showInputMessage="1" showErrorMessage="1" xr:uid="{7D33AB1A-0D94-425B-BFA8-C2EA050DDADD}">
          <x14:formula1>
            <xm:f>Options!$B$24:$B$28</xm:f>
          </x14:formula1>
          <xm:sqref>C26</xm:sqref>
        </x14:dataValidation>
        <x14:dataValidation type="list" allowBlank="1" showInputMessage="1" showErrorMessage="1" xr:uid="{53DDFE28-33D4-4142-A43E-A85B432392C3}">
          <x14:formula1>
            <xm:f>Options!$E$32:$E$33</xm:f>
          </x14:formula1>
          <xm:sqref>C53 F53 F62</xm:sqref>
        </x14:dataValidation>
        <x14:dataValidation type="list" allowBlank="1" showInputMessage="1" showErrorMessage="1" xr:uid="{7008A1D5-E286-4D48-B394-ADA1631225C4}">
          <x14:formula1>
            <xm:f>Options!$E$36:$E$38</xm:f>
          </x14:formula1>
          <xm:sqref>C54 F54 F63:F64</xm:sqref>
        </x14:dataValidation>
        <x14:dataValidation type="list" allowBlank="1" showInputMessage="1" showErrorMessage="1" xr:uid="{97FB3C87-7B56-4E5C-AF0D-5DEDC0BBE3C1}">
          <x14:formula1>
            <xm:f>Options!$I$16:$I$20</xm:f>
          </x14:formula1>
          <xm:sqref>C24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CF0D6-EC40-437C-93E7-72704321D88C}">
  <sheetPr codeName="Sheet6">
    <tabColor theme="9" tint="-0.249977111117893"/>
  </sheetPr>
  <dimension ref="A1:K283"/>
  <sheetViews>
    <sheetView showGridLines="0" zoomScale="85" zoomScaleNormal="85" zoomScaleSheetLayoutView="100" workbookViewId="0">
      <selection activeCell="B2" sqref="B2"/>
    </sheetView>
  </sheetViews>
  <sheetFormatPr defaultColWidth="9.140625" defaultRowHeight="15" x14ac:dyDescent="0.25"/>
  <cols>
    <col min="1" max="1" width="3.5703125" style="12" customWidth="1"/>
    <col min="2" max="2" width="46.140625" style="12" customWidth="1"/>
    <col min="3" max="3" width="35.5703125" style="12" customWidth="1"/>
    <col min="4" max="4" width="2.7109375" style="12" customWidth="1"/>
    <col min="5" max="5" width="29.28515625" style="12" customWidth="1"/>
    <col min="6" max="6" width="31.7109375" style="12" customWidth="1"/>
    <col min="7" max="7" width="18" style="12" customWidth="1"/>
    <col min="8" max="8" width="7.42578125" style="45" hidden="1" customWidth="1"/>
    <col min="9" max="9" width="9.42578125" style="46" hidden="1" customWidth="1"/>
    <col min="10" max="10" width="9.42578125" style="12" hidden="1" customWidth="1"/>
    <col min="11" max="16384" width="9.140625" style="12"/>
  </cols>
  <sheetData>
    <row r="1" spans="1:10" x14ac:dyDescent="0.25">
      <c r="A1"/>
      <c r="B1"/>
      <c r="C1"/>
      <c r="D1"/>
      <c r="E1"/>
      <c r="F1"/>
      <c r="G1"/>
      <c r="H1" s="19"/>
      <c r="I1" s="20"/>
      <c r="J1"/>
    </row>
    <row r="2" spans="1:10" s="24" customFormat="1" ht="15.75" x14ac:dyDescent="0.25">
      <c r="A2" s="21"/>
      <c r="B2" s="51" t="s">
        <v>192</v>
      </c>
      <c r="C2" s="53"/>
      <c r="D2" s="53"/>
      <c r="E2" s="53"/>
      <c r="F2" s="53"/>
      <c r="G2" s="56" t="s">
        <v>153</v>
      </c>
      <c r="H2" s="22"/>
      <c r="I2" s="23"/>
      <c r="J2" s="21"/>
    </row>
    <row r="3" spans="1:10" s="24" customFormat="1" ht="15.75" x14ac:dyDescent="0.25">
      <c r="A3" s="21"/>
      <c r="B3" s="25"/>
      <c r="C3" s="21"/>
      <c r="D3" s="21"/>
      <c r="E3" s="21"/>
      <c r="F3" s="21"/>
      <c r="G3" s="54"/>
      <c r="H3" s="22"/>
      <c r="I3" s="23"/>
      <c r="J3" s="21"/>
    </row>
    <row r="4" spans="1:10" s="24" customFormat="1" ht="15.75" x14ac:dyDescent="0.25">
      <c r="A4" s="21"/>
      <c r="B4" s="78"/>
      <c r="C4" s="53"/>
      <c r="D4" s="53"/>
      <c r="E4" s="53"/>
      <c r="F4" s="53"/>
      <c r="G4" s="55"/>
      <c r="H4" s="22"/>
      <c r="I4" s="23"/>
      <c r="J4" s="21"/>
    </row>
    <row r="5" spans="1:10" s="24" customFormat="1" x14ac:dyDescent="0.25">
      <c r="A5"/>
      <c r="B5" s="21" t="s">
        <v>128</v>
      </c>
      <c r="C5"/>
      <c r="D5"/>
      <c r="E5"/>
      <c r="F5"/>
      <c r="G5"/>
      <c r="H5" s="22"/>
      <c r="I5" s="23"/>
      <c r="J5" s="21"/>
    </row>
    <row r="6" spans="1:10" s="24" customFormat="1" x14ac:dyDescent="0.25">
      <c r="A6"/>
      <c r="B6" s="72" t="s">
        <v>141</v>
      </c>
      <c r="C6" s="26"/>
      <c r="D6" s="26"/>
      <c r="E6" s="26" t="str">
        <f>IF($C$7="Autres","Spécifier :","")</f>
        <v/>
      </c>
      <c r="F6" s="26"/>
      <c r="G6" s="33"/>
      <c r="H6" s="22"/>
      <c r="I6" s="23"/>
      <c r="J6" s="21"/>
    </row>
    <row r="7" spans="1:10" s="24" customFormat="1" x14ac:dyDescent="0.25">
      <c r="A7"/>
      <c r="B7" s="13" t="s">
        <v>98</v>
      </c>
      <c r="C7" s="27"/>
      <c r="D7" s="28"/>
      <c r="E7" s="28"/>
      <c r="F7" s="28"/>
      <c r="G7" s="34"/>
      <c r="H7" s="22"/>
      <c r="I7" s="23"/>
      <c r="J7" s="21"/>
    </row>
    <row r="8" spans="1:10" s="24" customFormat="1" x14ac:dyDescent="0.25">
      <c r="A8"/>
      <c r="B8" s="13" t="s">
        <v>133</v>
      </c>
      <c r="C8" s="27"/>
      <c r="D8" s="28"/>
      <c r="E8" s="28" t="str">
        <f>IF($C$8="Autres","Spécifier :","")</f>
        <v/>
      </c>
      <c r="F8" s="28"/>
      <c r="G8" s="34"/>
      <c r="H8" s="22"/>
      <c r="I8" s="23"/>
      <c r="J8" s="21"/>
    </row>
    <row r="9" spans="1:10" s="24" customFormat="1" x14ac:dyDescent="0.25">
      <c r="A9"/>
      <c r="B9" s="13" t="s">
        <v>140</v>
      </c>
      <c r="C9" s="27"/>
      <c r="D9" s="28"/>
      <c r="E9" s="28"/>
      <c r="F9" s="28"/>
      <c r="G9" s="34"/>
      <c r="H9" s="22"/>
      <c r="I9" s="23"/>
      <c r="J9" s="21"/>
    </row>
    <row r="10" spans="1:10" s="24" customFormat="1" x14ac:dyDescent="0.25">
      <c r="A10"/>
      <c r="B10" s="13" t="s">
        <v>89</v>
      </c>
      <c r="C10" s="27"/>
      <c r="D10" s="28"/>
      <c r="E10" s="28"/>
      <c r="F10" s="28"/>
      <c r="G10" s="34"/>
      <c r="H10" s="22"/>
      <c r="I10" s="23"/>
      <c r="J10" s="21"/>
    </row>
    <row r="11" spans="1:10" s="24" customFormat="1" x14ac:dyDescent="0.25">
      <c r="A11"/>
      <c r="B11" s="13"/>
      <c r="C11" s="28"/>
      <c r="D11" s="28"/>
      <c r="E11" s="28"/>
      <c r="F11" s="28"/>
      <c r="G11" s="34"/>
      <c r="H11" s="22"/>
      <c r="I11" s="23"/>
      <c r="J11" s="21"/>
    </row>
    <row r="12" spans="1:10" s="24" customFormat="1" x14ac:dyDescent="0.25">
      <c r="A12"/>
      <c r="B12" s="66" t="s">
        <v>137</v>
      </c>
      <c r="C12" s="28"/>
      <c r="D12" s="28"/>
      <c r="E12" s="28"/>
      <c r="F12" s="28"/>
      <c r="G12" s="34"/>
      <c r="H12" s="22"/>
      <c r="I12" s="23"/>
      <c r="J12" s="21"/>
    </row>
    <row r="13" spans="1:10" s="24" customFormat="1" x14ac:dyDescent="0.25">
      <c r="A13"/>
      <c r="B13" s="57" t="s">
        <v>94</v>
      </c>
      <c r="C13" s="27"/>
      <c r="D13" s="28"/>
      <c r="E13" s="28"/>
      <c r="F13" s="28"/>
      <c r="G13" s="34"/>
      <c r="H13" s="22"/>
      <c r="I13" s="23"/>
      <c r="J13" s="21"/>
    </row>
    <row r="14" spans="1:10" s="24" customFormat="1" x14ac:dyDescent="0.25">
      <c r="A14"/>
      <c r="B14" s="57" t="s">
        <v>95</v>
      </c>
      <c r="C14" s="27"/>
      <c r="D14" s="28"/>
      <c r="E14" s="28"/>
      <c r="F14" s="28"/>
      <c r="G14" s="34"/>
      <c r="H14" s="22"/>
      <c r="I14" s="23"/>
      <c r="J14" s="21"/>
    </row>
    <row r="15" spans="1:10" s="24" customFormat="1" x14ac:dyDescent="0.25">
      <c r="A15"/>
      <c r="B15" s="57" t="s">
        <v>138</v>
      </c>
      <c r="C15" s="27"/>
      <c r="D15" s="28"/>
      <c r="E15" s="28"/>
      <c r="F15" s="28"/>
      <c r="G15" s="34"/>
      <c r="H15" s="22"/>
      <c r="I15" s="23"/>
      <c r="J15" s="21"/>
    </row>
    <row r="16" spans="1:10" s="24" customFormat="1" x14ac:dyDescent="0.25">
      <c r="A16"/>
      <c r="B16" s="57" t="s">
        <v>6</v>
      </c>
      <c r="C16" s="27"/>
      <c r="D16" s="28"/>
      <c r="E16" s="28"/>
      <c r="F16" s="28"/>
      <c r="G16" s="34"/>
      <c r="H16" s="22"/>
      <c r="I16" s="23"/>
      <c r="J16" s="21"/>
    </row>
    <row r="17" spans="1:10" s="24" customFormat="1" x14ac:dyDescent="0.25">
      <c r="A17"/>
      <c r="B17" s="57" t="s">
        <v>148</v>
      </c>
      <c r="C17" s="27"/>
      <c r="D17" s="28"/>
      <c r="E17" s="28"/>
      <c r="F17" s="28"/>
      <c r="G17" s="34"/>
      <c r="H17" s="22"/>
      <c r="I17" s="23"/>
      <c r="J17" s="21"/>
    </row>
    <row r="18" spans="1:10" s="24" customFormat="1" x14ac:dyDescent="0.25">
      <c r="A18"/>
      <c r="B18" s="57"/>
      <c r="C18" s="28"/>
      <c r="D18" s="28"/>
      <c r="E18" s="28"/>
      <c r="F18" s="28"/>
      <c r="G18" s="34"/>
      <c r="H18" s="22"/>
      <c r="I18" s="23"/>
      <c r="J18" s="21"/>
    </row>
    <row r="19" spans="1:10" s="24" customFormat="1" x14ac:dyDescent="0.25">
      <c r="A19"/>
      <c r="B19" s="103" t="s">
        <v>204</v>
      </c>
      <c r="C19" s="110"/>
      <c r="D19" s="110"/>
      <c r="E19" s="103" t="s">
        <v>203</v>
      </c>
      <c r="F19" s="110"/>
      <c r="G19" s="34"/>
      <c r="H19" s="22"/>
      <c r="I19" s="23"/>
      <c r="J19" s="21"/>
    </row>
    <row r="20" spans="1:10" s="24" customFormat="1" x14ac:dyDescent="0.25">
      <c r="A20"/>
      <c r="B20" s="73" t="s">
        <v>205</v>
      </c>
      <c r="C20" s="28"/>
      <c r="D20" s="28"/>
      <c r="E20" s="73" t="s">
        <v>205</v>
      </c>
      <c r="F20" s="28"/>
      <c r="G20" s="34"/>
      <c r="H20" s="22"/>
      <c r="I20" s="23"/>
      <c r="J20" s="21"/>
    </row>
    <row r="21" spans="1:10" s="24" customFormat="1" x14ac:dyDescent="0.25">
      <c r="A21"/>
      <c r="B21" s="13" t="s">
        <v>209</v>
      </c>
      <c r="C21" s="74"/>
      <c r="D21" s="28"/>
      <c r="E21" s="57" t="s">
        <v>213</v>
      </c>
      <c r="F21" s="74"/>
      <c r="G21" s="34"/>
      <c r="H21" s="22"/>
      <c r="I21" s="23"/>
      <c r="J21" s="21"/>
    </row>
    <row r="22" spans="1:10" s="24" customFormat="1" ht="15.75" thickBot="1" x14ac:dyDescent="0.3">
      <c r="A22"/>
      <c r="B22" s="13" t="s">
        <v>142</v>
      </c>
      <c r="C22" s="76"/>
      <c r="D22" s="28"/>
      <c r="E22" s="57"/>
      <c r="F22" s="28"/>
      <c r="G22" s="34"/>
      <c r="H22" s="22"/>
      <c r="I22" s="23"/>
      <c r="J22" s="21"/>
    </row>
    <row r="23" spans="1:10" s="24" customFormat="1" ht="15.75" thickTop="1" x14ac:dyDescent="0.25">
      <c r="A23"/>
      <c r="B23" s="107" t="s">
        <v>210</v>
      </c>
      <c r="C23" s="108">
        <f>C21+C22</f>
        <v>0</v>
      </c>
      <c r="D23" s="28"/>
      <c r="E23" s="109" t="s">
        <v>212</v>
      </c>
      <c r="F23" s="28"/>
      <c r="G23" s="34"/>
      <c r="H23" s="22"/>
      <c r="I23" s="23"/>
      <c r="J23" s="21"/>
    </row>
    <row r="24" spans="1:10" s="24" customFormat="1" x14ac:dyDescent="0.25">
      <c r="A24"/>
      <c r="B24" s="13"/>
      <c r="C24" s="75"/>
      <c r="D24" s="28"/>
      <c r="E24" s="36" t="s">
        <v>18</v>
      </c>
      <c r="F24" s="111"/>
      <c r="G24" s="34"/>
      <c r="H24" s="22"/>
      <c r="I24" s="23"/>
      <c r="J24" s="21"/>
    </row>
    <row r="25" spans="1:10" s="24" customFormat="1" x14ac:dyDescent="0.25">
      <c r="A25"/>
      <c r="B25" s="36" t="s">
        <v>18</v>
      </c>
      <c r="C25" s="111"/>
      <c r="D25" s="112"/>
      <c r="E25" s="36" t="s">
        <v>157</v>
      </c>
      <c r="F25" s="111"/>
      <c r="G25" s="34"/>
      <c r="H25" s="22"/>
      <c r="I25" s="23"/>
      <c r="J25" s="21"/>
    </row>
    <row r="26" spans="1:10" s="24" customFormat="1" x14ac:dyDescent="0.25">
      <c r="A26" s="35"/>
      <c r="B26" s="36" t="s">
        <v>157</v>
      </c>
      <c r="C26" s="111"/>
      <c r="D26" s="112"/>
      <c r="E26" s="57"/>
      <c r="F26" s="28"/>
      <c r="G26" s="37"/>
      <c r="H26" s="22"/>
      <c r="I26" s="23"/>
      <c r="J26" s="21"/>
    </row>
    <row r="27" spans="1:10" s="24" customFormat="1" x14ac:dyDescent="0.25">
      <c r="A27" s="35"/>
      <c r="B27" s="36" t="s">
        <v>158</v>
      </c>
      <c r="C27" s="111"/>
      <c r="D27" s="112"/>
      <c r="E27" s="109" t="s">
        <v>214</v>
      </c>
      <c r="F27" s="28"/>
      <c r="G27" s="37"/>
      <c r="H27" s="22"/>
      <c r="I27" s="23"/>
      <c r="J27" s="21"/>
    </row>
    <row r="28" spans="1:10" s="24" customFormat="1" x14ac:dyDescent="0.25">
      <c r="A28" s="35"/>
      <c r="B28" s="36"/>
      <c r="C28" s="112"/>
      <c r="D28" s="112"/>
      <c r="E28" s="36" t="s">
        <v>163</v>
      </c>
      <c r="F28" s="111"/>
      <c r="G28" s="37"/>
      <c r="H28" s="22"/>
      <c r="I28" s="23"/>
      <c r="J28" s="21"/>
    </row>
    <row r="29" spans="1:10" s="24" customFormat="1" x14ac:dyDescent="0.25">
      <c r="A29" s="35"/>
      <c r="B29" s="66" t="s">
        <v>206</v>
      </c>
      <c r="C29" s="28"/>
      <c r="D29" s="28"/>
      <c r="E29" s="57"/>
      <c r="F29" s="28"/>
      <c r="G29" s="37"/>
      <c r="H29" s="22"/>
      <c r="I29" s="23"/>
      <c r="J29" s="21"/>
    </row>
    <row r="30" spans="1:10" s="24" customFormat="1" x14ac:dyDescent="0.25">
      <c r="A30" s="35"/>
      <c r="B30" s="13" t="s">
        <v>149</v>
      </c>
      <c r="C30" s="27"/>
      <c r="D30" s="28"/>
      <c r="E30" s="73" t="s">
        <v>206</v>
      </c>
      <c r="F30" s="28"/>
      <c r="G30" s="34"/>
      <c r="H30" s="22"/>
      <c r="I30" s="23"/>
      <c r="J30" s="21"/>
    </row>
    <row r="31" spans="1:10" s="24" customFormat="1" x14ac:dyDescent="0.25">
      <c r="A31" s="35"/>
      <c r="B31" s="13" t="s">
        <v>150</v>
      </c>
      <c r="C31" s="27"/>
      <c r="D31" s="28"/>
      <c r="E31" s="57" t="s">
        <v>130</v>
      </c>
      <c r="F31" s="27"/>
      <c r="G31" s="34"/>
      <c r="H31" s="22"/>
      <c r="I31" s="23"/>
      <c r="J31" s="21"/>
    </row>
    <row r="32" spans="1:10" s="24" customFormat="1" x14ac:dyDescent="0.25">
      <c r="A32" s="35"/>
      <c r="B32" s="13" t="s">
        <v>164</v>
      </c>
      <c r="C32" s="28" t="s">
        <v>103</v>
      </c>
      <c r="D32" s="28"/>
      <c r="E32" s="57" t="s">
        <v>136</v>
      </c>
      <c r="F32" s="27"/>
      <c r="G32" s="34"/>
      <c r="H32" s="22"/>
      <c r="I32" s="23"/>
      <c r="J32" s="21"/>
    </row>
    <row r="33" spans="1:10" s="24" customFormat="1" x14ac:dyDescent="0.25">
      <c r="A33" s="35"/>
      <c r="B33" s="13" t="s">
        <v>136</v>
      </c>
      <c r="C33" s="27"/>
      <c r="D33" s="28"/>
      <c r="E33" s="13" t="s">
        <v>211</v>
      </c>
      <c r="F33" s="27"/>
      <c r="G33" s="34"/>
      <c r="H33" s="22"/>
      <c r="I33" s="23"/>
      <c r="J33" s="21"/>
    </row>
    <row r="34" spans="1:10" s="24" customFormat="1" x14ac:dyDescent="0.25">
      <c r="A34" s="35"/>
      <c r="B34" s="13" t="s">
        <v>211</v>
      </c>
      <c r="C34" s="27"/>
      <c r="D34" s="34"/>
      <c r="E34" s="57"/>
      <c r="F34" s="28"/>
      <c r="G34" s="34"/>
      <c r="H34" s="22"/>
      <c r="I34" s="23"/>
      <c r="J34" s="21"/>
    </row>
    <row r="35" spans="1:10" s="24" customFormat="1" x14ac:dyDescent="0.25">
      <c r="A35"/>
      <c r="B35" s="18"/>
      <c r="C35" s="32"/>
      <c r="D35" s="32"/>
      <c r="E35" s="32"/>
      <c r="F35" s="32"/>
      <c r="G35" s="40"/>
      <c r="H35" s="22"/>
      <c r="I35" s="23"/>
      <c r="J35" s="21"/>
    </row>
    <row r="36" spans="1:10" s="24" customFormat="1" ht="15.75" x14ac:dyDescent="0.25">
      <c r="A36" s="21"/>
      <c r="B36" s="78"/>
      <c r="C36" s="53"/>
      <c r="D36" s="53"/>
      <c r="E36" s="53"/>
      <c r="F36" s="53"/>
      <c r="G36"/>
      <c r="H36" s="22"/>
      <c r="I36" s="23"/>
      <c r="J36" s="21"/>
    </row>
    <row r="37" spans="1:10" x14ac:dyDescent="0.25">
      <c r="A37"/>
      <c r="B37" s="21" t="s">
        <v>193</v>
      </c>
      <c r="C37"/>
      <c r="D37"/>
      <c r="E37"/>
      <c r="F37"/>
      <c r="G37"/>
      <c r="H37" s="19"/>
      <c r="I37" s="20"/>
      <c r="J37"/>
    </row>
    <row r="38" spans="1:10" x14ac:dyDescent="0.25">
      <c r="A38"/>
      <c r="B38" s="10" t="s">
        <v>168</v>
      </c>
      <c r="C38" s="29"/>
      <c r="D38" s="11"/>
      <c r="E38" s="11"/>
      <c r="F38" s="11"/>
      <c r="G38" s="59"/>
      <c r="H38" s="19"/>
      <c r="I38" s="20"/>
      <c r="J38"/>
    </row>
    <row r="39" spans="1:10" x14ac:dyDescent="0.25">
      <c r="A39"/>
      <c r="B39" s="13" t="s">
        <v>80</v>
      </c>
      <c r="C39" s="27"/>
      <c r="D39"/>
      <c r="E39"/>
      <c r="F39"/>
      <c r="G39" s="15"/>
      <c r="H39" s="19"/>
      <c r="I39" s="20"/>
      <c r="J39"/>
    </row>
    <row r="40" spans="1:10" x14ac:dyDescent="0.25">
      <c r="A40"/>
      <c r="B40" s="13" t="s">
        <v>180</v>
      </c>
      <c r="C40" s="27"/>
      <c r="D40"/>
      <c r="E40"/>
      <c r="F40"/>
      <c r="G40" s="15"/>
      <c r="H40" s="19"/>
      <c r="I40" s="20"/>
      <c r="J40"/>
    </row>
    <row r="41" spans="1:10" x14ac:dyDescent="0.25">
      <c r="A41"/>
      <c r="B41" s="13" t="s">
        <v>170</v>
      </c>
      <c r="C41" s="27"/>
      <c r="D41"/>
      <c r="E41"/>
      <c r="F41"/>
      <c r="G41" s="15"/>
      <c r="H41" s="19"/>
      <c r="I41" s="20"/>
      <c r="J41"/>
    </row>
    <row r="42" spans="1:10" x14ac:dyDescent="0.25">
      <c r="A42"/>
      <c r="B42" s="13" t="s">
        <v>171</v>
      </c>
      <c r="C42" s="27"/>
      <c r="D42" s="81"/>
      <c r="E42"/>
      <c r="F42"/>
      <c r="G42" s="15"/>
      <c r="H42" s="19"/>
      <c r="I42" s="20"/>
      <c r="J42"/>
    </row>
    <row r="43" spans="1:10" x14ac:dyDescent="0.25">
      <c r="A43"/>
      <c r="B43" s="13"/>
      <c r="C43"/>
      <c r="D43"/>
      <c r="E43"/>
      <c r="F43"/>
      <c r="G43" s="15"/>
      <c r="H43" s="19"/>
      <c r="I43" s="20"/>
      <c r="J43"/>
    </row>
    <row r="44" spans="1:10" x14ac:dyDescent="0.25">
      <c r="A44"/>
      <c r="B44" s="58" t="s">
        <v>169</v>
      </c>
      <c r="C44" s="28"/>
      <c r="D44"/>
      <c r="E44" s="64" t="s">
        <v>179</v>
      </c>
      <c r="F44" s="28"/>
      <c r="G44" s="15"/>
      <c r="H44" s="19"/>
      <c r="I44" s="20"/>
      <c r="J44"/>
    </row>
    <row r="45" spans="1:10" x14ac:dyDescent="0.25">
      <c r="A45"/>
      <c r="B45" s="57" t="s">
        <v>94</v>
      </c>
      <c r="C45" s="27"/>
      <c r="D45"/>
      <c r="E45" s="28" t="s">
        <v>94</v>
      </c>
      <c r="F45" s="27"/>
      <c r="G45" s="15"/>
      <c r="H45" s="19"/>
      <c r="I45" s="20"/>
      <c r="J45"/>
    </row>
    <row r="46" spans="1:10" x14ac:dyDescent="0.25">
      <c r="A46"/>
      <c r="B46" s="57" t="s">
        <v>95</v>
      </c>
      <c r="C46" s="27"/>
      <c r="D46"/>
      <c r="E46" s="28" t="s">
        <v>95</v>
      </c>
      <c r="F46" s="27"/>
      <c r="G46" s="15"/>
      <c r="H46" s="19"/>
      <c r="I46" s="20"/>
      <c r="J46"/>
    </row>
    <row r="47" spans="1:10" x14ac:dyDescent="0.25">
      <c r="A47"/>
      <c r="B47" s="57" t="s">
        <v>138</v>
      </c>
      <c r="C47" s="27"/>
      <c r="D47"/>
      <c r="E47" s="28" t="s">
        <v>138</v>
      </c>
      <c r="F47" s="27"/>
      <c r="G47" s="15"/>
      <c r="H47" s="19"/>
      <c r="I47" s="20" t="b">
        <f>ISERROR(VLOOKUP(C47,'Risque géographique'!$B:$B,1,FALSE))</f>
        <v>1</v>
      </c>
      <c r="J47"/>
    </row>
    <row r="48" spans="1:10" x14ac:dyDescent="0.25">
      <c r="A48"/>
      <c r="B48" s="57" t="s">
        <v>6</v>
      </c>
      <c r="C48" s="27"/>
      <c r="D48"/>
      <c r="E48" s="28" t="s">
        <v>6</v>
      </c>
      <c r="F48" s="27"/>
      <c r="G48" s="15"/>
      <c r="H48" s="19"/>
      <c r="I48" s="20"/>
      <c r="J48"/>
    </row>
    <row r="49" spans="1:10" x14ac:dyDescent="0.25">
      <c r="A49"/>
      <c r="B49" s="57"/>
      <c r="C49"/>
      <c r="D49"/>
      <c r="E49" s="28"/>
      <c r="F49" s="28"/>
      <c r="G49" s="15"/>
      <c r="H49" s="19"/>
      <c r="I49" s="20"/>
      <c r="J49"/>
    </row>
    <row r="50" spans="1:10" x14ac:dyDescent="0.25">
      <c r="A50"/>
      <c r="B50" s="68" t="s">
        <v>109</v>
      </c>
      <c r="C50" s="28"/>
      <c r="D50"/>
      <c r="E50" s="28"/>
      <c r="F50" s="28"/>
      <c r="G50" s="15"/>
      <c r="H50" s="19"/>
      <c r="I50" s="20"/>
      <c r="J50"/>
    </row>
    <row r="51" spans="1:10" x14ac:dyDescent="0.25">
      <c r="A51"/>
      <c r="B51" s="57" t="s">
        <v>217</v>
      </c>
      <c r="C51" s="31"/>
      <c r="D51"/>
      <c r="E51" s="28"/>
      <c r="F51" s="28"/>
      <c r="G51" s="15"/>
      <c r="H51" s="19"/>
      <c r="I51" s="20"/>
      <c r="J51"/>
    </row>
    <row r="52" spans="1:10" x14ac:dyDescent="0.25">
      <c r="A52"/>
      <c r="B52" s="13" t="s">
        <v>93</v>
      </c>
      <c r="C52" s="31"/>
      <c r="D52"/>
      <c r="E52" s="28"/>
      <c r="F52" s="28"/>
      <c r="G52" s="15"/>
      <c r="H52" s="19"/>
      <c r="I52" s="20"/>
      <c r="J52"/>
    </row>
    <row r="53" spans="1:10" x14ac:dyDescent="0.25">
      <c r="A53"/>
      <c r="B53" s="13" t="s">
        <v>13</v>
      </c>
      <c r="C53" s="31"/>
      <c r="D53"/>
      <c r="E53" s="28"/>
      <c r="F53" s="28"/>
      <c r="G53" s="15"/>
      <c r="H53" s="19"/>
      <c r="I53" s="20"/>
      <c r="J53"/>
    </row>
    <row r="54" spans="1:10" x14ac:dyDescent="0.25">
      <c r="A54"/>
      <c r="B54" s="18"/>
      <c r="C54" s="79"/>
      <c r="D54" s="16"/>
      <c r="E54" s="16"/>
      <c r="F54" s="16"/>
      <c r="G54" s="17"/>
      <c r="H54" s="19"/>
      <c r="I54" s="20">
        <f>IF(I47=FALSE,10,0)</f>
        <v>0</v>
      </c>
      <c r="J54"/>
    </row>
    <row r="55" spans="1:10" x14ac:dyDescent="0.25">
      <c r="A55"/>
      <c r="B55"/>
      <c r="C55"/>
      <c r="D55"/>
      <c r="E55"/>
      <c r="F55"/>
      <c r="G55"/>
      <c r="H55" s="19"/>
      <c r="I55" s="20"/>
      <c r="J55"/>
    </row>
    <row r="56" spans="1:10" x14ac:dyDescent="0.25">
      <c r="A56"/>
      <c r="B56" s="21" t="s">
        <v>195</v>
      </c>
      <c r="C56"/>
      <c r="D56"/>
      <c r="E56"/>
      <c r="F56"/>
      <c r="G56"/>
      <c r="H56" s="19"/>
      <c r="I56" s="20"/>
      <c r="J56"/>
    </row>
    <row r="57" spans="1:10" x14ac:dyDescent="0.25">
      <c r="A57"/>
      <c r="B57" s="83" t="s">
        <v>182</v>
      </c>
      <c r="C57" s="86" t="s">
        <v>81</v>
      </c>
      <c r="D57" s="11"/>
      <c r="E57" s="86" t="s">
        <v>187</v>
      </c>
      <c r="F57" s="11"/>
      <c r="G57" s="59"/>
      <c r="H57" s="19"/>
      <c r="I57" s="20"/>
      <c r="J57"/>
    </row>
    <row r="58" spans="1:10" x14ac:dyDescent="0.25">
      <c r="A58"/>
      <c r="B58" s="89"/>
      <c r="C58" s="87"/>
      <c r="D58" s="87"/>
      <c r="E58" s="87"/>
      <c r="F58"/>
      <c r="G58" s="15"/>
      <c r="H58" s="19"/>
      <c r="I58" s="20"/>
      <c r="J58"/>
    </row>
    <row r="59" spans="1:10" x14ac:dyDescent="0.25">
      <c r="A59"/>
      <c r="B59" s="89"/>
      <c r="C59" s="87"/>
      <c r="D59" s="87"/>
      <c r="E59" s="87"/>
      <c r="F59"/>
      <c r="G59" s="15"/>
      <c r="H59" s="19"/>
      <c r="I59" s="20"/>
      <c r="J59"/>
    </row>
    <row r="60" spans="1:10" x14ac:dyDescent="0.25">
      <c r="A60"/>
      <c r="B60" s="89"/>
      <c r="C60" s="87"/>
      <c r="D60" s="87"/>
      <c r="E60" s="87"/>
      <c r="F60"/>
      <c r="G60" s="15"/>
      <c r="H60" s="19"/>
      <c r="I60" s="20"/>
      <c r="J60"/>
    </row>
    <row r="61" spans="1:10" x14ac:dyDescent="0.25">
      <c r="A61"/>
      <c r="B61" s="90"/>
      <c r="C61" s="88"/>
      <c r="D61" s="88"/>
      <c r="E61" s="88"/>
      <c r="F61" s="16"/>
      <c r="G61" s="17"/>
      <c r="H61" s="19"/>
      <c r="I61" s="20"/>
      <c r="J61"/>
    </row>
    <row r="62" spans="1:10" x14ac:dyDescent="0.25">
      <c r="A62"/>
      <c r="B62"/>
      <c r="C62"/>
      <c r="D62"/>
      <c r="E62"/>
      <c r="F62"/>
      <c r="G62"/>
      <c r="H62"/>
      <c r="I62" s="20"/>
      <c r="J62"/>
    </row>
    <row r="63" spans="1:10" x14ac:dyDescent="0.25">
      <c r="A63"/>
      <c r="B63" s="21" t="s">
        <v>174</v>
      </c>
      <c r="C63"/>
      <c r="D63"/>
      <c r="E63"/>
      <c r="F63"/>
      <c r="G63"/>
      <c r="H63"/>
      <c r="I63" s="20"/>
      <c r="J63"/>
    </row>
    <row r="64" spans="1:10" x14ac:dyDescent="0.25">
      <c r="A64"/>
      <c r="B64" s="10" t="s">
        <v>175</v>
      </c>
      <c r="C64" s="29"/>
      <c r="D64" s="85" t="s">
        <v>177</v>
      </c>
      <c r="E64" s="85"/>
      <c r="F64" s="60"/>
      <c r="G64" s="69"/>
      <c r="H64" s="19"/>
      <c r="I64" s="20"/>
      <c r="J64"/>
    </row>
    <row r="65" spans="1:10" x14ac:dyDescent="0.25">
      <c r="A65"/>
      <c r="B65" s="121" t="s">
        <v>176</v>
      </c>
      <c r="C65" s="126"/>
      <c r="D65" s="28"/>
      <c r="E65" s="28"/>
      <c r="F65" s="82"/>
      <c r="G65" s="43"/>
      <c r="H65" s="19"/>
      <c r="I65" s="20"/>
      <c r="J65"/>
    </row>
    <row r="66" spans="1:10" x14ac:dyDescent="0.25">
      <c r="A66"/>
      <c r="B66" s="128"/>
      <c r="C66" s="127"/>
      <c r="D66" s="32"/>
      <c r="E66" s="32"/>
      <c r="F66" s="65"/>
      <c r="G66" s="84"/>
      <c r="H66" s="19"/>
      <c r="I66" s="20"/>
      <c r="J66"/>
    </row>
    <row r="67" spans="1:10" x14ac:dyDescent="0.25">
      <c r="A67"/>
      <c r="B67"/>
      <c r="C67"/>
      <c r="D67"/>
      <c r="E67"/>
      <c r="F67"/>
      <c r="G67"/>
      <c r="H67" s="19"/>
      <c r="I67" s="20"/>
      <c r="J67"/>
    </row>
    <row r="68" spans="1:10" x14ac:dyDescent="0.25">
      <c r="A68"/>
      <c r="B68" s="21" t="s">
        <v>24</v>
      </c>
      <c r="C68"/>
      <c r="D68"/>
      <c r="E68"/>
      <c r="F68"/>
      <c r="G68"/>
      <c r="H68" s="19"/>
      <c r="I68" s="20"/>
      <c r="J68"/>
    </row>
    <row r="69" spans="1:10" ht="15" customHeight="1" x14ac:dyDescent="0.25">
      <c r="A69"/>
      <c r="B69" s="120" t="s">
        <v>121</v>
      </c>
      <c r="C69" s="122"/>
      <c r="D69" s="11"/>
      <c r="E69" s="11" t="s">
        <v>151</v>
      </c>
      <c r="F69" s="29"/>
      <c r="G69" s="33"/>
      <c r="H69" s="19"/>
      <c r="I69" s="20"/>
      <c r="J69"/>
    </row>
    <row r="70" spans="1:10" x14ac:dyDescent="0.25">
      <c r="A70"/>
      <c r="B70" s="121"/>
      <c r="C70" s="123"/>
      <c r="D70"/>
      <c r="E70" s="70"/>
      <c r="F70" s="27"/>
      <c r="G70" s="34"/>
      <c r="H70" s="19"/>
      <c r="I70" s="38">
        <f>SUM(I37:I66)</f>
        <v>0</v>
      </c>
      <c r="J70"/>
    </row>
    <row r="71" spans="1:10" x14ac:dyDescent="0.25">
      <c r="A71"/>
      <c r="B71" s="18"/>
      <c r="C71" s="16"/>
      <c r="D71" s="16"/>
      <c r="E71" s="16"/>
      <c r="F71" s="16"/>
      <c r="G71" s="17"/>
      <c r="H71" s="19"/>
      <c r="I71" s="9"/>
      <c r="J71"/>
    </row>
    <row r="72" spans="1:10" x14ac:dyDescent="0.25">
      <c r="A72"/>
      <c r="B72"/>
      <c r="C72"/>
      <c r="D72"/>
      <c r="E72"/>
      <c r="F72"/>
      <c r="G72"/>
      <c r="H72" s="19"/>
      <c r="I72" s="9"/>
      <c r="J72"/>
    </row>
    <row r="73" spans="1:10" x14ac:dyDescent="0.25">
      <c r="A73"/>
      <c r="B73" t="s">
        <v>106</v>
      </c>
      <c r="C73" s="30"/>
      <c r="D73"/>
      <c r="E73" t="s">
        <v>124</v>
      </c>
      <c r="F73"/>
      <c r="G73"/>
      <c r="H73" s="19"/>
      <c r="I73" s="9"/>
      <c r="J73"/>
    </row>
    <row r="74" spans="1:10" x14ac:dyDescent="0.25">
      <c r="A74"/>
      <c r="B74" t="s">
        <v>123</v>
      </c>
      <c r="C74" s="27"/>
      <c r="D74"/>
      <c r="E74"/>
      <c r="F74" s="9"/>
      <c r="G74"/>
      <c r="H74" s="19"/>
      <c r="I74" s="9"/>
      <c r="J74"/>
    </row>
    <row r="75" spans="1:10" x14ac:dyDescent="0.25">
      <c r="A75"/>
      <c r="B75" s="71" t="s">
        <v>122</v>
      </c>
      <c r="C75" s="27"/>
      <c r="D75"/>
      <c r="E75"/>
      <c r="F75"/>
      <c r="G75"/>
      <c r="H75" s="19"/>
      <c r="I75" s="9"/>
      <c r="J75"/>
    </row>
    <row r="76" spans="1:10" x14ac:dyDescent="0.25">
      <c r="A76"/>
      <c r="B76"/>
      <c r="C76"/>
      <c r="D76"/>
      <c r="E76"/>
      <c r="F76"/>
      <c r="G76"/>
      <c r="H76" s="19"/>
      <c r="I76" s="20"/>
      <c r="J76"/>
    </row>
    <row r="77" spans="1:10" x14ac:dyDescent="0.25">
      <c r="A77"/>
      <c r="B77"/>
      <c r="C77"/>
      <c r="D77"/>
      <c r="E77"/>
      <c r="F77"/>
      <c r="G77"/>
      <c r="H77" s="19"/>
      <c r="I77" s="20"/>
      <c r="J77"/>
    </row>
    <row r="78" spans="1:10" x14ac:dyDescent="0.25">
      <c r="A78"/>
      <c r="B78"/>
      <c r="C78"/>
      <c r="D78"/>
      <c r="E78"/>
      <c r="F78"/>
      <c r="G78"/>
      <c r="H78" s="19"/>
      <c r="I78" s="20"/>
      <c r="J78"/>
    </row>
    <row r="283" spans="1:11" s="46" customFormat="1" x14ac:dyDescent="0.25">
      <c r="A283" s="12"/>
      <c r="B283" s="12"/>
      <c r="C283" s="12"/>
      <c r="D283" s="12"/>
      <c r="E283" s="12"/>
      <c r="F283" s="12"/>
      <c r="G283" s="12"/>
      <c r="H283" s="45" t="b">
        <v>0</v>
      </c>
      <c r="J283" s="12"/>
      <c r="K283" s="12"/>
    </row>
  </sheetData>
  <protectedRanges>
    <protectedRange sqref="C13:C17 F6:F8 F10:F12 C7:C10" name="PP_4"/>
    <protectedRange sqref="C45:C48 F45:F48" name="PP_5"/>
    <protectedRange sqref="C51:C53" name="PP_7"/>
    <protectedRange sqref="C69 C73:C75 F69:G70" name="PP_10"/>
    <protectedRange sqref="F65:F66 C64:C66" name="PP"/>
    <protectedRange sqref="C21:C27 C30:C34 F21 F24:F29 F31:F34" name="PP_2"/>
  </protectedRanges>
  <dataConsolidate/>
  <mergeCells count="4">
    <mergeCell ref="B69:B70"/>
    <mergeCell ref="C69:C70"/>
    <mergeCell ref="B65:B66"/>
    <mergeCell ref="C65:C66"/>
  </mergeCells>
  <conditionalFormatting sqref="F6:F8">
    <cfRule type="expression" dxfId="20" priority="29">
      <formula>$H6="TRUE"</formula>
    </cfRule>
  </conditionalFormatting>
  <conditionalFormatting sqref="F10:F12">
    <cfRule type="expression" dxfId="19" priority="22">
      <formula>$H10="TRUE"</formula>
    </cfRule>
  </conditionalFormatting>
  <conditionalFormatting sqref="C69">
    <cfRule type="containsText" dxfId="18" priority="13" operator="containsText" text="Risque faible">
      <formula>NOT(ISERROR(SEARCH("Risque faible",C69)))</formula>
    </cfRule>
    <cfRule type="containsText" dxfId="17" priority="14" operator="containsText" text="Risque élevé">
      <formula>NOT(ISERROR(SEARCH("Risque élevé",C69)))</formula>
    </cfRule>
    <cfRule type="containsText" dxfId="16" priority="15" operator="containsText" text="Risque moyen">
      <formula>NOT(ISERROR(SEARCH("Risque moyen",C69)))</formula>
    </cfRule>
  </conditionalFormatting>
  <conditionalFormatting sqref="G64:G66">
    <cfRule type="containsText" dxfId="15" priority="11" operator="containsText" text="Relation d'affaire en suspend">
      <formula>NOT(ISERROR(SEARCH("Relation d'affaire en suspend",G64)))</formula>
    </cfRule>
    <cfRule type="containsText" dxfId="14" priority="12" operator="containsText" text="Prière de dater et signer la copie du document d'identité obtenue">
      <formula>NOT(ISERROR(SEARCH("Prière de dater et signer la copie du document d'identité obtenue",G64)))</formula>
    </cfRule>
  </conditionalFormatting>
  <conditionalFormatting sqref="F26:F27 F29">
    <cfRule type="expression" dxfId="13" priority="3">
      <formula>$H26="TRUE"</formula>
    </cfRule>
  </conditionalFormatting>
  <conditionalFormatting sqref="F25:F29">
    <cfRule type="expression" dxfId="12" priority="4">
      <formula>#REF!="TRUE"</formula>
    </cfRule>
  </conditionalFormatting>
  <conditionalFormatting sqref="F31:F33">
    <cfRule type="expression" dxfId="11" priority="5">
      <formula>$H26="TRUE"</formula>
    </cfRule>
  </conditionalFormatting>
  <conditionalFormatting sqref="F25 F28">
    <cfRule type="expression" dxfId="10" priority="6">
      <formula>$H26="TRUE"</formula>
    </cfRule>
  </conditionalFormatting>
  <conditionalFormatting sqref="F28">
    <cfRule type="expression" dxfId="9" priority="7">
      <formula>$H27="TRUE"</formula>
    </cfRule>
  </conditionalFormatting>
  <conditionalFormatting sqref="F34">
    <cfRule type="expression" dxfId="8" priority="1">
      <formula>$H34="TRUE"</formula>
    </cfRule>
  </conditionalFormatting>
  <conditionalFormatting sqref="F34">
    <cfRule type="expression" dxfId="7" priority="2">
      <formula>#REF!="TRUE"</formula>
    </cfRule>
  </conditionalFormatting>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Impression">
                <anchor moveWithCells="1" sizeWithCells="1">
                  <from>
                    <xdr:col>0</xdr:col>
                    <xdr:colOff>228600</xdr:colOff>
                    <xdr:row>76</xdr:row>
                    <xdr:rowOff>19050</xdr:rowOff>
                  </from>
                  <to>
                    <xdr:col>2</xdr:col>
                    <xdr:colOff>0</xdr:colOff>
                    <xdr:row>78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00E83B63-B0E9-4192-9748-8298691AD378}">
          <x14:formula1>
            <xm:f>Options!$E$32:$E$33</xm:f>
          </x14:formula1>
          <xm:sqref>F65</xm:sqref>
        </x14:dataValidation>
        <x14:dataValidation type="list" allowBlank="1" showInputMessage="1" showErrorMessage="1" xr:uid="{53FBB160-263D-4852-A9E3-1D7C4804C700}">
          <x14:formula1>
            <xm:f>Options!$E$36:$E$38</xm:f>
          </x14:formula1>
          <xm:sqref>F66</xm:sqref>
        </x14:dataValidation>
        <x14:dataValidation type="list" allowBlank="1" showInputMessage="1" showErrorMessage="1" xr:uid="{D227457C-EB8E-4E6D-9635-C8C69D2FA029}">
          <x14:formula1>
            <xm:f>Options!$F$5:$F$6</xm:f>
          </x14:formula1>
          <xm:sqref>C64</xm:sqref>
        </x14:dataValidation>
        <x14:dataValidation type="list" allowBlank="1" showInputMessage="1" showErrorMessage="1" xr:uid="{8D962850-AD40-41E3-BD0B-4EA32A40954E}">
          <x14:formula1>
            <xm:f>Options!$M$13:$M$16</xm:f>
          </x14:formula1>
          <xm:sqref>C58:C61</xm:sqref>
        </x14:dataValidation>
        <x14:dataValidation type="list" allowBlank="1" showInputMessage="1" showErrorMessage="1" xr:uid="{2263CC1B-28E5-499B-9161-25C15105121B}">
          <x14:formula1>
            <xm:f>Options!$I$16:$I$20</xm:f>
          </x14:formula1>
          <xm:sqref>C26 F25</xm:sqref>
        </x14:dataValidation>
        <x14:dataValidation type="list" allowBlank="1" showInputMessage="1" showErrorMessage="1" xr:uid="{70DC5EAD-BB48-4D6A-8FFE-56CCF5369519}">
          <x14:formula1>
            <xm:f>Options!$M$5:$M$8</xm:f>
          </x14:formula1>
          <xm:sqref>C27 F28</xm:sqref>
        </x14:dataValidation>
        <x14:dataValidation type="list" showInputMessage="1" showErrorMessage="1" xr:uid="{5A2DBFB8-0215-4E5E-910B-35CEE9A75056}">
          <x14:formula1>
            <xm:f>Options!$J$5:$J$12</xm:f>
          </x14:formula1>
          <xm:sqref>C7</xm:sqref>
        </x14:dataValidation>
        <x14:dataValidation type="list" allowBlank="1" showInputMessage="1" showErrorMessage="1" xr:uid="{9970B6BD-543C-4E43-9C07-7AD2A7286E3E}">
          <x14:formula1>
            <xm:f>Options!$B$24:$B$28</xm:f>
          </x14:formula1>
          <xm:sqref>C25 C29 F24</xm:sqref>
        </x14:dataValidation>
        <x14:dataValidation type="list" allowBlank="1" showInputMessage="1" showErrorMessage="1" xr:uid="{28A6BDF5-4C83-4AB8-AF77-8D339EC9146A}">
          <x14:formula1>
            <xm:f>Options!$F$11:$F$16</xm:f>
          </x14:formula1>
          <xm:sqref>C8</xm:sqref>
        </x14:dataValidation>
        <x14:dataValidation type="list" allowBlank="1" showInputMessage="1" showErrorMessage="1" xr:uid="{01036570-3300-4435-80AC-41ECFA4CE2BF}">
          <x14:formula1>
            <xm:f>Options!$C$19:$C$21</xm:f>
          </x14:formula1>
          <xm:sqref>C69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7EE7D-7A56-414B-ADD9-02CF88C54DDF}">
  <dimension ref="B2:C5"/>
  <sheetViews>
    <sheetView workbookViewId="0">
      <selection activeCell="I18" sqref="I18"/>
    </sheetView>
  </sheetViews>
  <sheetFormatPr defaultColWidth="9.140625" defaultRowHeight="15" x14ac:dyDescent="0.25"/>
  <cols>
    <col min="2" max="2" width="10.7109375" bestFit="1" customWidth="1"/>
  </cols>
  <sheetData>
    <row r="2" spans="2:3" x14ac:dyDescent="0.25">
      <c r="B2" s="64" t="s">
        <v>166</v>
      </c>
    </row>
    <row r="3" spans="2:3" x14ac:dyDescent="0.25">
      <c r="B3" s="77">
        <v>44958</v>
      </c>
      <c r="C3" t="s">
        <v>167</v>
      </c>
    </row>
    <row r="4" spans="2:3" x14ac:dyDescent="0.25">
      <c r="B4" s="77">
        <v>44963</v>
      </c>
      <c r="C4" t="s">
        <v>167</v>
      </c>
    </row>
    <row r="5" spans="2:3" x14ac:dyDescent="0.25">
      <c r="B5" s="77">
        <v>44973</v>
      </c>
      <c r="C5" t="s">
        <v>244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4ABF-9044-4736-B922-980E0C85A81D}">
  <sheetPr codeName="Sheet10">
    <tabColor theme="9" tint="-0.249977111117893"/>
  </sheetPr>
  <dimension ref="A1:R277"/>
  <sheetViews>
    <sheetView showGridLines="0" zoomScale="85" zoomScaleNormal="85" zoomScaleSheetLayoutView="100" workbookViewId="0">
      <selection activeCell="M40" sqref="M40"/>
    </sheetView>
  </sheetViews>
  <sheetFormatPr defaultColWidth="9.140625" defaultRowHeight="15" x14ac:dyDescent="0.25"/>
  <cols>
    <col min="1" max="1" width="3.5703125" style="12" customWidth="1"/>
    <col min="2" max="2" width="46.140625" style="12" customWidth="1"/>
    <col min="3" max="3" width="35.5703125" style="12" customWidth="1"/>
    <col min="4" max="4" width="2.7109375" style="12" customWidth="1"/>
    <col min="5" max="5" width="29.28515625" style="12" customWidth="1"/>
    <col min="6" max="6" width="31.7109375" style="12" customWidth="1"/>
    <col min="7" max="7" width="18" style="12" customWidth="1"/>
    <col min="8" max="8" width="7.42578125" style="45" hidden="1" customWidth="1"/>
    <col min="9" max="9" width="9.42578125" style="46" hidden="1" customWidth="1"/>
    <col min="10" max="10" width="9.42578125" style="12" hidden="1" customWidth="1"/>
    <col min="11" max="16" width="9.140625" style="12"/>
    <col min="17" max="20" width="0" style="12" hidden="1" customWidth="1"/>
    <col min="21" max="16384" width="9.140625" style="12"/>
  </cols>
  <sheetData>
    <row r="1" spans="1:18" x14ac:dyDescent="0.25">
      <c r="A1"/>
      <c r="B1"/>
      <c r="C1"/>
      <c r="D1"/>
      <c r="E1"/>
      <c r="F1"/>
      <c r="G1"/>
      <c r="H1" s="19"/>
      <c r="I1" s="20"/>
      <c r="J1"/>
    </row>
    <row r="2" spans="1:18" s="24" customFormat="1" ht="15.75" x14ac:dyDescent="0.25">
      <c r="A2" s="21"/>
      <c r="B2" s="51" t="s">
        <v>192</v>
      </c>
      <c r="C2" s="53"/>
      <c r="D2" s="53"/>
      <c r="E2" s="53"/>
      <c r="F2" s="53"/>
      <c r="G2" s="56" t="s">
        <v>153</v>
      </c>
      <c r="H2" s="22"/>
      <c r="I2" s="23"/>
      <c r="J2" s="21"/>
    </row>
    <row r="3" spans="1:18" s="24" customFormat="1" ht="15.75" x14ac:dyDescent="0.25">
      <c r="A3" s="21"/>
      <c r="B3" s="25"/>
      <c r="C3" s="21"/>
      <c r="D3" s="21"/>
      <c r="E3" s="21"/>
      <c r="F3" s="21"/>
      <c r="G3" s="54"/>
      <c r="H3" s="22"/>
      <c r="I3" s="23"/>
      <c r="J3" s="21"/>
    </row>
    <row r="4" spans="1:18" s="24" customFormat="1" ht="15.75" x14ac:dyDescent="0.25">
      <c r="A4" s="21"/>
      <c r="B4" s="78"/>
      <c r="C4" s="53"/>
      <c r="D4" s="53"/>
      <c r="E4" s="53"/>
      <c r="F4" s="53"/>
      <c r="G4" s="55"/>
      <c r="H4" s="22"/>
      <c r="I4" s="23"/>
      <c r="J4" s="21"/>
    </row>
    <row r="5" spans="1:18" s="24" customFormat="1" x14ac:dyDescent="0.25">
      <c r="A5"/>
      <c r="B5" s="21" t="s">
        <v>128</v>
      </c>
      <c r="C5"/>
      <c r="D5"/>
      <c r="E5"/>
      <c r="F5"/>
      <c r="G5"/>
      <c r="H5" s="22"/>
      <c r="I5" s="23"/>
      <c r="J5" s="21"/>
    </row>
    <row r="6" spans="1:18" x14ac:dyDescent="0.25">
      <c r="A6"/>
      <c r="B6" s="72" t="s">
        <v>141</v>
      </c>
      <c r="C6" s="26"/>
      <c r="D6" s="26"/>
      <c r="E6" s="26" t="str">
        <f>IF($C$7="Autres","Spécifier :","")</f>
        <v/>
      </c>
      <c r="F6" s="26"/>
      <c r="G6" s="33"/>
      <c r="H6" s="19" t="b">
        <f>IF(E6&lt;&gt;"","TRUE",FALSE)</f>
        <v>0</v>
      </c>
      <c r="I6" s="20"/>
      <c r="J6"/>
    </row>
    <row r="7" spans="1:18" x14ac:dyDescent="0.25">
      <c r="A7"/>
      <c r="B7" s="13" t="s">
        <v>98</v>
      </c>
      <c r="C7" s="27" t="s">
        <v>15</v>
      </c>
      <c r="D7" s="28"/>
      <c r="E7" s="28"/>
      <c r="F7" s="28"/>
      <c r="G7" s="34"/>
      <c r="H7" s="19"/>
      <c r="I7" s="20"/>
      <c r="J7"/>
    </row>
    <row r="8" spans="1:18" x14ac:dyDescent="0.25">
      <c r="A8"/>
      <c r="B8" s="13" t="s">
        <v>133</v>
      </c>
      <c r="C8" s="27"/>
      <c r="D8" s="28"/>
      <c r="E8" s="28" t="str">
        <f>IF($C$8="Autres","Spécifier :","")</f>
        <v/>
      </c>
      <c r="F8" s="28"/>
      <c r="G8" s="34"/>
      <c r="H8" s="19" t="b">
        <f>IF(E8&lt;&gt;"","TRUE",FALSE)</f>
        <v>0</v>
      </c>
      <c r="I8" s="20"/>
      <c r="J8"/>
    </row>
    <row r="9" spans="1:18" x14ac:dyDescent="0.25">
      <c r="A9"/>
      <c r="B9" s="13" t="s">
        <v>140</v>
      </c>
      <c r="C9" s="27"/>
      <c r="D9" s="28"/>
      <c r="E9" s="28"/>
      <c r="F9" s="28"/>
      <c r="G9" s="34"/>
      <c r="H9" s="19"/>
      <c r="I9" s="20"/>
      <c r="J9"/>
    </row>
    <row r="10" spans="1:18" x14ac:dyDescent="0.25">
      <c r="A10"/>
      <c r="B10" s="13" t="s">
        <v>89</v>
      </c>
      <c r="C10" s="27"/>
      <c r="D10" s="28"/>
      <c r="E10" s="28"/>
      <c r="F10" s="28"/>
      <c r="G10" s="34"/>
      <c r="H10" s="19"/>
      <c r="I10" s="20"/>
      <c r="J10"/>
    </row>
    <row r="11" spans="1:18" x14ac:dyDescent="0.25">
      <c r="A11"/>
      <c r="B11" s="13"/>
      <c r="C11" s="28"/>
      <c r="D11" s="28"/>
      <c r="E11" s="28"/>
      <c r="F11" s="115"/>
      <c r="G11" s="34"/>
      <c r="H11" s="19"/>
      <c r="I11" s="20"/>
      <c r="J11"/>
      <c r="Q11" s="118" t="s">
        <v>250</v>
      </c>
      <c r="R11" s="117" t="s">
        <v>202</v>
      </c>
    </row>
    <row r="12" spans="1:18" x14ac:dyDescent="0.25">
      <c r="A12"/>
      <c r="B12" s="66" t="s">
        <v>137</v>
      </c>
      <c r="C12" s="28"/>
      <c r="D12" s="28"/>
      <c r="E12" s="28"/>
      <c r="F12" s="116"/>
      <c r="G12" s="34"/>
      <c r="H12" s="19"/>
      <c r="I12" s="20"/>
      <c r="J12"/>
      <c r="Q12" s="118" t="s">
        <v>22</v>
      </c>
      <c r="R12" s="117" t="s">
        <v>86</v>
      </c>
    </row>
    <row r="13" spans="1:18" x14ac:dyDescent="0.25">
      <c r="A13"/>
      <c r="B13" s="57" t="s">
        <v>94</v>
      </c>
      <c r="C13" s="27"/>
      <c r="D13" s="28"/>
      <c r="E13" s="28"/>
      <c r="F13" s="116"/>
      <c r="G13" s="34"/>
      <c r="H13" s="19"/>
      <c r="I13" s="20"/>
      <c r="J13"/>
      <c r="Q13" s="118" t="s">
        <v>21</v>
      </c>
      <c r="R13" s="117" t="s">
        <v>87</v>
      </c>
    </row>
    <row r="14" spans="1:18" x14ac:dyDescent="0.25">
      <c r="A14"/>
      <c r="B14" s="57" t="s">
        <v>95</v>
      </c>
      <c r="C14" s="27"/>
      <c r="D14" s="28"/>
      <c r="E14" s="28"/>
      <c r="F14" s="116"/>
      <c r="G14" s="34"/>
      <c r="H14" s="19"/>
      <c r="I14" s="20"/>
      <c r="J14"/>
      <c r="Q14" s="118" t="s">
        <v>23</v>
      </c>
      <c r="R14" s="117" t="s">
        <v>132</v>
      </c>
    </row>
    <row r="15" spans="1:18" x14ac:dyDescent="0.25">
      <c r="A15"/>
      <c r="B15" s="57" t="s">
        <v>138</v>
      </c>
      <c r="C15" s="27"/>
      <c r="D15" s="28"/>
      <c r="E15" s="28"/>
      <c r="F15" s="116"/>
      <c r="G15" s="34"/>
      <c r="H15" s="19"/>
      <c r="I15" s="20"/>
      <c r="J15"/>
      <c r="Q15" s="118" t="s">
        <v>251</v>
      </c>
      <c r="R15" s="117"/>
    </row>
    <row r="16" spans="1:18" x14ac:dyDescent="0.25">
      <c r="A16"/>
      <c r="B16" s="57" t="s">
        <v>6</v>
      </c>
      <c r="C16" s="27"/>
      <c r="D16" s="28"/>
      <c r="E16" s="28"/>
      <c r="F16" s="116"/>
      <c r="G16" s="34"/>
      <c r="H16" s="19"/>
      <c r="I16" s="20"/>
      <c r="J16"/>
    </row>
    <row r="17" spans="1:10" x14ac:dyDescent="0.25">
      <c r="A17"/>
      <c r="B17" s="57" t="s">
        <v>148</v>
      </c>
      <c r="C17" s="27"/>
      <c r="D17" s="28"/>
      <c r="E17" s="28"/>
      <c r="F17" s="28"/>
      <c r="G17" s="34"/>
      <c r="H17" s="19"/>
      <c r="I17" s="20"/>
      <c r="J17"/>
    </row>
    <row r="18" spans="1:10" x14ac:dyDescent="0.25">
      <c r="A18"/>
      <c r="B18" s="57"/>
      <c r="C18" s="28"/>
      <c r="D18" s="28"/>
      <c r="E18" s="28"/>
      <c r="F18" s="28"/>
      <c r="G18" s="34"/>
      <c r="H18" s="19"/>
      <c r="I18" s="20"/>
      <c r="J18"/>
    </row>
    <row r="19" spans="1:10" s="102" customFormat="1" x14ac:dyDescent="0.25">
      <c r="A19" s="99"/>
      <c r="B19" s="103" t="s">
        <v>245</v>
      </c>
      <c r="C19" s="110"/>
      <c r="D19" s="110"/>
      <c r="E19" s="28"/>
      <c r="F19" s="28"/>
      <c r="G19" s="34"/>
      <c r="H19" s="101"/>
      <c r="I19" s="99"/>
      <c r="J19" s="99"/>
    </row>
    <row r="20" spans="1:10" x14ac:dyDescent="0.25">
      <c r="A20"/>
      <c r="B20" s="73" t="s">
        <v>246</v>
      </c>
      <c r="C20" s="28"/>
      <c r="D20" s="28"/>
      <c r="E20" s="28"/>
      <c r="F20" s="28"/>
      <c r="G20" s="34"/>
      <c r="H20" s="19"/>
      <c r="I20" s="20"/>
      <c r="J20"/>
    </row>
    <row r="21" spans="1:10" x14ac:dyDescent="0.25">
      <c r="A21"/>
      <c r="B21" s="13" t="s">
        <v>247</v>
      </c>
      <c r="C21" s="74"/>
      <c r="D21" s="28"/>
      <c r="E21" s="28"/>
      <c r="F21" s="28"/>
      <c r="G21" s="34"/>
      <c r="H21" s="19"/>
      <c r="I21" s="20"/>
      <c r="J21"/>
    </row>
    <row r="22" spans="1:10" x14ac:dyDescent="0.25">
      <c r="A22"/>
      <c r="B22" s="13"/>
      <c r="C22" s="75"/>
      <c r="D22" s="28"/>
      <c r="E22" s="28"/>
      <c r="F22" s="28"/>
      <c r="G22" s="34"/>
      <c r="H22" s="19"/>
      <c r="I22" s="20"/>
      <c r="J22"/>
    </row>
    <row r="23" spans="1:10" s="39" customFormat="1" x14ac:dyDescent="0.25">
      <c r="A23" s="35"/>
      <c r="B23" s="36" t="s">
        <v>18</v>
      </c>
      <c r="C23" s="111"/>
      <c r="D23" s="112"/>
      <c r="E23" s="28"/>
      <c r="F23" s="28"/>
      <c r="G23" s="34"/>
      <c r="H23" s="19" t="b">
        <f>IF(E27&lt;&gt;"","TRUE",FALSE)</f>
        <v>0</v>
      </c>
      <c r="I23" s="38"/>
      <c r="J23" s="35"/>
    </row>
    <row r="24" spans="1:10" s="39" customFormat="1" x14ac:dyDescent="0.25">
      <c r="A24" s="35"/>
      <c r="B24" s="36" t="s">
        <v>157</v>
      </c>
      <c r="C24" s="111"/>
      <c r="D24" s="112"/>
      <c r="E24" s="28"/>
      <c r="F24" s="28"/>
      <c r="G24" s="34"/>
      <c r="H24" s="19"/>
      <c r="I24" s="38"/>
      <c r="J24" s="35"/>
    </row>
    <row r="25" spans="1:10" s="39" customFormat="1" x14ac:dyDescent="0.25">
      <c r="A25" s="35"/>
      <c r="B25" s="36"/>
      <c r="C25" s="112"/>
      <c r="D25" s="112"/>
      <c r="E25" s="28"/>
      <c r="F25" s="28"/>
      <c r="G25" s="34"/>
      <c r="H25" s="19"/>
      <c r="I25" s="38"/>
      <c r="J25" s="35"/>
    </row>
    <row r="26" spans="1:10" s="39" customFormat="1" x14ac:dyDescent="0.25">
      <c r="A26" s="35"/>
      <c r="B26" s="66" t="s">
        <v>206</v>
      </c>
      <c r="C26" s="28"/>
      <c r="D26" s="28"/>
      <c r="E26" s="28"/>
      <c r="F26" s="28"/>
      <c r="G26" s="34"/>
      <c r="H26" s="19"/>
      <c r="I26" s="38"/>
      <c r="J26" s="35"/>
    </row>
    <row r="27" spans="1:10" s="39" customFormat="1" x14ac:dyDescent="0.25">
      <c r="A27" s="35"/>
      <c r="B27" s="13" t="s">
        <v>248</v>
      </c>
      <c r="C27" s="27"/>
      <c r="D27" s="28"/>
      <c r="E27" s="28"/>
      <c r="F27" s="28"/>
      <c r="G27" s="34"/>
      <c r="H27" s="19"/>
      <c r="I27" s="38"/>
      <c r="J27" s="35"/>
    </row>
    <row r="28" spans="1:10" s="39" customFormat="1" x14ac:dyDescent="0.25">
      <c r="A28" s="35"/>
      <c r="B28" s="13" t="s">
        <v>211</v>
      </c>
      <c r="C28" s="27"/>
      <c r="D28" s="28"/>
      <c r="E28" s="28"/>
      <c r="F28" s="28"/>
      <c r="G28" s="34"/>
      <c r="H28" s="19"/>
      <c r="I28" s="38"/>
      <c r="J28" s="35"/>
    </row>
    <row r="29" spans="1:10" x14ac:dyDescent="0.25">
      <c r="A29"/>
      <c r="B29" s="18"/>
      <c r="C29" s="32"/>
      <c r="D29" s="32"/>
      <c r="E29" s="32"/>
      <c r="F29" s="32"/>
      <c r="G29" s="40"/>
      <c r="H29" s="19"/>
      <c r="I29" s="20"/>
      <c r="J29"/>
    </row>
    <row r="30" spans="1:10" x14ac:dyDescent="0.25">
      <c r="A30"/>
      <c r="B30"/>
      <c r="C30" s="28"/>
      <c r="D30" s="28"/>
      <c r="E30" s="28"/>
      <c r="F30" s="28"/>
      <c r="G30" s="28"/>
      <c r="H30" s="19"/>
      <c r="I30" s="20"/>
      <c r="J30"/>
    </row>
    <row r="31" spans="1:10" x14ac:dyDescent="0.25">
      <c r="A31"/>
      <c r="B31" s="21" t="s">
        <v>193</v>
      </c>
      <c r="C31"/>
      <c r="D31"/>
      <c r="E31"/>
      <c r="F31"/>
      <c r="G31"/>
      <c r="H31" s="19"/>
      <c r="I31" s="20"/>
      <c r="J31"/>
    </row>
    <row r="32" spans="1:10" x14ac:dyDescent="0.25">
      <c r="A32"/>
      <c r="B32" s="10" t="s">
        <v>168</v>
      </c>
      <c r="C32" s="29"/>
      <c r="D32" s="11"/>
      <c r="E32" s="11"/>
      <c r="F32" s="11"/>
      <c r="G32" s="59"/>
      <c r="H32" s="19"/>
      <c r="I32" s="20"/>
      <c r="J32"/>
    </row>
    <row r="33" spans="1:10" x14ac:dyDescent="0.25">
      <c r="A33"/>
      <c r="B33" s="13" t="s">
        <v>80</v>
      </c>
      <c r="C33" s="27"/>
      <c r="D33"/>
      <c r="E33"/>
      <c r="F33"/>
      <c r="G33" s="15"/>
      <c r="H33" s="19"/>
      <c r="I33" s="20"/>
      <c r="J33"/>
    </row>
    <row r="34" spans="1:10" x14ac:dyDescent="0.25">
      <c r="A34"/>
      <c r="B34" s="13" t="s">
        <v>180</v>
      </c>
      <c r="C34" s="27"/>
      <c r="D34"/>
      <c r="E34"/>
      <c r="F34"/>
      <c r="G34" s="15"/>
      <c r="H34" s="19"/>
      <c r="I34" s="20"/>
      <c r="J34"/>
    </row>
    <row r="35" spans="1:10" x14ac:dyDescent="0.25">
      <c r="A35"/>
      <c r="B35" s="13" t="s">
        <v>170</v>
      </c>
      <c r="C35" s="27"/>
      <c r="D35"/>
      <c r="E35"/>
      <c r="F35"/>
      <c r="G35" s="15"/>
      <c r="H35" s="19"/>
      <c r="I35" s="20"/>
      <c r="J35"/>
    </row>
    <row r="36" spans="1:10" x14ac:dyDescent="0.25">
      <c r="A36"/>
      <c r="B36" s="13" t="s">
        <v>171</v>
      </c>
      <c r="C36" s="27"/>
      <c r="D36" s="81"/>
      <c r="E36"/>
      <c r="F36"/>
      <c r="G36" s="15"/>
      <c r="H36" s="19"/>
      <c r="I36" s="20"/>
      <c r="J36"/>
    </row>
    <row r="37" spans="1:10" x14ac:dyDescent="0.25">
      <c r="A37"/>
      <c r="B37" s="13"/>
      <c r="C37"/>
      <c r="D37"/>
      <c r="E37"/>
      <c r="F37"/>
      <c r="G37" s="15"/>
      <c r="H37" s="19"/>
      <c r="I37" s="20"/>
      <c r="J37"/>
    </row>
    <row r="38" spans="1:10" x14ac:dyDescent="0.25">
      <c r="A38"/>
      <c r="B38" s="58" t="s">
        <v>169</v>
      </c>
      <c r="C38" s="28"/>
      <c r="D38"/>
      <c r="E38" s="64" t="s">
        <v>179</v>
      </c>
      <c r="F38" s="28"/>
      <c r="G38" s="15"/>
      <c r="H38" s="19"/>
      <c r="I38" s="20"/>
      <c r="J38"/>
    </row>
    <row r="39" spans="1:10" x14ac:dyDescent="0.25">
      <c r="A39"/>
      <c r="B39" s="57" t="s">
        <v>94</v>
      </c>
      <c r="C39" s="27"/>
      <c r="D39"/>
      <c r="E39" s="28" t="s">
        <v>94</v>
      </c>
      <c r="F39" s="27"/>
      <c r="G39" s="15"/>
      <c r="H39" s="19"/>
      <c r="I39" s="20"/>
      <c r="J39"/>
    </row>
    <row r="40" spans="1:10" x14ac:dyDescent="0.25">
      <c r="A40"/>
      <c r="B40" s="57" t="s">
        <v>95</v>
      </c>
      <c r="C40" s="27"/>
      <c r="D40"/>
      <c r="E40" s="28" t="s">
        <v>95</v>
      </c>
      <c r="F40" s="27"/>
      <c r="G40" s="15"/>
      <c r="H40" s="19"/>
      <c r="I40" s="20"/>
      <c r="J40"/>
    </row>
    <row r="41" spans="1:10" x14ac:dyDescent="0.25">
      <c r="A41"/>
      <c r="B41" s="57" t="s">
        <v>138</v>
      </c>
      <c r="C41" s="27"/>
      <c r="D41"/>
      <c r="E41" s="28" t="s">
        <v>138</v>
      </c>
      <c r="F41" s="27"/>
      <c r="G41" s="15"/>
      <c r="H41" s="19"/>
      <c r="I41" s="20" t="b">
        <f>ISERROR(VLOOKUP(C41,'Risque géographique'!$B:$B,1,FALSE))</f>
        <v>1</v>
      </c>
      <c r="J41"/>
    </row>
    <row r="42" spans="1:10" x14ac:dyDescent="0.25">
      <c r="A42"/>
      <c r="B42" s="57" t="s">
        <v>6</v>
      </c>
      <c r="C42" s="27"/>
      <c r="D42"/>
      <c r="E42" s="28" t="s">
        <v>6</v>
      </c>
      <c r="F42" s="27"/>
      <c r="G42" s="15"/>
      <c r="H42" s="19"/>
      <c r="I42" s="20"/>
      <c r="J42"/>
    </row>
    <row r="43" spans="1:10" x14ac:dyDescent="0.25">
      <c r="A43"/>
      <c r="B43" s="57"/>
      <c r="C43"/>
      <c r="D43"/>
      <c r="E43" s="28"/>
      <c r="F43" s="28"/>
      <c r="G43" s="15"/>
      <c r="H43" s="19"/>
      <c r="I43" s="20"/>
      <c r="J43"/>
    </row>
    <row r="44" spans="1:10" x14ac:dyDescent="0.25">
      <c r="A44"/>
      <c r="B44" s="68" t="s">
        <v>109</v>
      </c>
      <c r="C44" s="28"/>
      <c r="D44"/>
      <c r="E44" s="28"/>
      <c r="F44" s="28"/>
      <c r="G44" s="15"/>
      <c r="H44" s="19"/>
      <c r="I44" s="20"/>
      <c r="J44"/>
    </row>
    <row r="45" spans="1:10" x14ac:dyDescent="0.25">
      <c r="A45"/>
      <c r="B45" s="57" t="s">
        <v>217</v>
      </c>
      <c r="C45" s="31"/>
      <c r="D45"/>
      <c r="E45" s="28"/>
      <c r="F45" s="28"/>
      <c r="G45" s="15"/>
      <c r="H45" s="19"/>
      <c r="I45" s="20"/>
      <c r="J45"/>
    </row>
    <row r="46" spans="1:10" x14ac:dyDescent="0.25">
      <c r="A46"/>
      <c r="B46" s="13" t="s">
        <v>93</v>
      </c>
      <c r="C46" s="31"/>
      <c r="D46"/>
      <c r="E46" s="28"/>
      <c r="F46" s="28"/>
      <c r="G46" s="15"/>
      <c r="H46" s="19"/>
      <c r="I46" s="20"/>
      <c r="J46"/>
    </row>
    <row r="47" spans="1:10" x14ac:dyDescent="0.25">
      <c r="A47"/>
      <c r="B47" s="13" t="s">
        <v>13</v>
      </c>
      <c r="C47" s="31"/>
      <c r="D47"/>
      <c r="E47" s="28"/>
      <c r="F47" s="28"/>
      <c r="G47" s="15"/>
      <c r="H47" s="19"/>
      <c r="I47" s="20"/>
      <c r="J47"/>
    </row>
    <row r="48" spans="1:10" x14ac:dyDescent="0.25">
      <c r="A48"/>
      <c r="B48" s="18"/>
      <c r="C48" s="79"/>
      <c r="D48" s="16"/>
      <c r="E48" s="16"/>
      <c r="F48" s="16"/>
      <c r="G48" s="17"/>
      <c r="H48" s="19"/>
      <c r="I48" s="20">
        <f>IF(I41=FALSE,10,0)</f>
        <v>0</v>
      </c>
      <c r="J48"/>
    </row>
    <row r="49" spans="1:10" x14ac:dyDescent="0.25">
      <c r="A49"/>
      <c r="B49"/>
      <c r="C49"/>
      <c r="D49"/>
      <c r="E49"/>
      <c r="F49"/>
      <c r="G49"/>
      <c r="H49" s="19"/>
      <c r="I49" s="20"/>
      <c r="J49"/>
    </row>
    <row r="50" spans="1:10" x14ac:dyDescent="0.25">
      <c r="A50"/>
      <c r="B50" s="21" t="s">
        <v>195</v>
      </c>
      <c r="C50"/>
      <c r="D50"/>
      <c r="E50"/>
      <c r="F50"/>
      <c r="G50"/>
      <c r="H50" s="19"/>
      <c r="I50" s="20"/>
      <c r="J50"/>
    </row>
    <row r="51" spans="1:10" x14ac:dyDescent="0.25">
      <c r="A51"/>
      <c r="B51" s="83" t="s">
        <v>182</v>
      </c>
      <c r="C51" s="86" t="s">
        <v>81</v>
      </c>
      <c r="D51" s="11"/>
      <c r="E51" s="86" t="s">
        <v>187</v>
      </c>
      <c r="F51" s="11"/>
      <c r="G51" s="59"/>
      <c r="H51" s="19"/>
      <c r="I51" s="20"/>
      <c r="J51"/>
    </row>
    <row r="52" spans="1:10" x14ac:dyDescent="0.25">
      <c r="A52"/>
      <c r="B52" s="89"/>
      <c r="C52" s="87"/>
      <c r="D52" s="87"/>
      <c r="E52" s="87"/>
      <c r="F52"/>
      <c r="G52" s="15"/>
      <c r="H52" s="19"/>
      <c r="I52" s="20"/>
      <c r="J52"/>
    </row>
    <row r="53" spans="1:10" x14ac:dyDescent="0.25">
      <c r="A53"/>
      <c r="B53" s="89"/>
      <c r="C53" s="87"/>
      <c r="D53" s="87"/>
      <c r="E53" s="87"/>
      <c r="F53"/>
      <c r="G53" s="15"/>
      <c r="H53" s="19"/>
      <c r="I53" s="20"/>
      <c r="J53"/>
    </row>
    <row r="54" spans="1:10" x14ac:dyDescent="0.25">
      <c r="A54"/>
      <c r="B54" s="89"/>
      <c r="C54" s="87"/>
      <c r="D54" s="87"/>
      <c r="E54" s="87"/>
      <c r="F54"/>
      <c r="G54" s="15"/>
      <c r="H54" s="19"/>
      <c r="I54" s="20"/>
      <c r="J54"/>
    </row>
    <row r="55" spans="1:10" x14ac:dyDescent="0.25">
      <c r="A55"/>
      <c r="B55" s="90"/>
      <c r="C55" s="88"/>
      <c r="D55" s="88"/>
      <c r="E55" s="88"/>
      <c r="F55" s="16"/>
      <c r="G55" s="17"/>
      <c r="H55" s="19"/>
      <c r="I55" s="20"/>
      <c r="J55"/>
    </row>
    <row r="56" spans="1:10" x14ac:dyDescent="0.25">
      <c r="A56"/>
      <c r="B56"/>
      <c r="C56"/>
      <c r="D56"/>
      <c r="E56"/>
      <c r="F56"/>
      <c r="G56"/>
      <c r="H56"/>
      <c r="I56" s="20"/>
      <c r="J56"/>
    </row>
    <row r="57" spans="1:10" x14ac:dyDescent="0.25">
      <c r="A57"/>
      <c r="B57" s="21" t="s">
        <v>174</v>
      </c>
      <c r="C57"/>
      <c r="D57"/>
      <c r="E57"/>
      <c r="F57"/>
      <c r="G57"/>
      <c r="H57"/>
      <c r="I57" s="20"/>
      <c r="J57"/>
    </row>
    <row r="58" spans="1:10" x14ac:dyDescent="0.25">
      <c r="A58"/>
      <c r="B58" s="10" t="s">
        <v>175</v>
      </c>
      <c r="C58" s="29"/>
      <c r="D58" s="85" t="s">
        <v>177</v>
      </c>
      <c r="E58" s="85"/>
      <c r="F58" s="60"/>
      <c r="G58" s="69"/>
      <c r="H58" s="19"/>
      <c r="I58" s="20"/>
      <c r="J58"/>
    </row>
    <row r="59" spans="1:10" x14ac:dyDescent="0.25">
      <c r="A59"/>
      <c r="B59" s="121" t="s">
        <v>176</v>
      </c>
      <c r="C59" s="126"/>
      <c r="D59" s="28"/>
      <c r="E59" s="28"/>
      <c r="F59" s="82"/>
      <c r="G59" s="43"/>
      <c r="H59" s="19"/>
      <c r="I59" s="20"/>
      <c r="J59"/>
    </row>
    <row r="60" spans="1:10" x14ac:dyDescent="0.25">
      <c r="A60"/>
      <c r="B60" s="128"/>
      <c r="C60" s="127"/>
      <c r="D60" s="32"/>
      <c r="E60" s="32"/>
      <c r="F60" s="65"/>
      <c r="G60" s="84"/>
      <c r="H60" s="19"/>
      <c r="I60" s="20"/>
      <c r="J60"/>
    </row>
    <row r="61" spans="1:10" x14ac:dyDescent="0.25">
      <c r="A61"/>
      <c r="B61"/>
      <c r="C61"/>
      <c r="D61"/>
      <c r="E61"/>
      <c r="F61"/>
      <c r="G61"/>
      <c r="H61" s="19"/>
      <c r="I61" s="20"/>
      <c r="J61"/>
    </row>
    <row r="62" spans="1:10" x14ac:dyDescent="0.25">
      <c r="A62"/>
      <c r="B62" s="21" t="s">
        <v>24</v>
      </c>
      <c r="C62"/>
      <c r="D62"/>
      <c r="E62"/>
      <c r="F62"/>
      <c r="G62"/>
      <c r="H62" s="19"/>
      <c r="I62" s="20"/>
      <c r="J62"/>
    </row>
    <row r="63" spans="1:10" ht="15" customHeight="1" x14ac:dyDescent="0.25">
      <c r="A63"/>
      <c r="B63" s="120" t="s">
        <v>121</v>
      </c>
      <c r="C63" s="122"/>
      <c r="D63" s="11"/>
      <c r="E63" s="11" t="s">
        <v>151</v>
      </c>
      <c r="F63" s="29"/>
      <c r="G63" s="33"/>
      <c r="H63" s="19"/>
      <c r="I63" s="20"/>
      <c r="J63"/>
    </row>
    <row r="64" spans="1:10" x14ac:dyDescent="0.25">
      <c r="A64"/>
      <c r="B64" s="121"/>
      <c r="C64" s="123"/>
      <c r="D64"/>
      <c r="E64" s="70"/>
      <c r="F64" s="27"/>
      <c r="G64" s="34"/>
      <c r="H64" s="19"/>
      <c r="I64" s="38">
        <f>SUM(I31:I60)</f>
        <v>0</v>
      </c>
      <c r="J64"/>
    </row>
    <row r="65" spans="1:10" x14ac:dyDescent="0.25">
      <c r="A65"/>
      <c r="B65" s="18"/>
      <c r="C65" s="16"/>
      <c r="D65" s="16"/>
      <c r="E65" s="16"/>
      <c r="F65" s="16"/>
      <c r="G65" s="17"/>
      <c r="H65" s="19"/>
      <c r="I65" s="9"/>
      <c r="J65"/>
    </row>
    <row r="66" spans="1:10" x14ac:dyDescent="0.25">
      <c r="A66"/>
      <c r="B66"/>
      <c r="C66"/>
      <c r="D66"/>
      <c r="E66"/>
      <c r="F66"/>
      <c r="G66"/>
      <c r="H66" s="19"/>
      <c r="I66" s="9"/>
      <c r="J66"/>
    </row>
    <row r="67" spans="1:10" x14ac:dyDescent="0.25">
      <c r="A67"/>
      <c r="B67" t="s">
        <v>106</v>
      </c>
      <c r="C67" s="30"/>
      <c r="D67"/>
      <c r="E67" t="s">
        <v>124</v>
      </c>
      <c r="F67"/>
      <c r="G67"/>
      <c r="H67" s="19"/>
      <c r="I67" s="9"/>
      <c r="J67"/>
    </row>
    <row r="68" spans="1:10" x14ac:dyDescent="0.25">
      <c r="A68"/>
      <c r="B68" t="s">
        <v>123</v>
      </c>
      <c r="C68" s="27"/>
      <c r="D68"/>
      <c r="E68"/>
      <c r="F68" s="9"/>
      <c r="G68"/>
      <c r="H68" s="19"/>
      <c r="I68" s="9"/>
      <c r="J68"/>
    </row>
    <row r="69" spans="1:10" x14ac:dyDescent="0.25">
      <c r="A69"/>
      <c r="B69" s="71" t="s">
        <v>122</v>
      </c>
      <c r="C69" s="27"/>
      <c r="D69"/>
      <c r="E69"/>
      <c r="F69"/>
      <c r="G69"/>
      <c r="H69" s="19"/>
      <c r="I69" s="9"/>
      <c r="J69"/>
    </row>
    <row r="70" spans="1:10" x14ac:dyDescent="0.25">
      <c r="A70"/>
      <c r="B70"/>
      <c r="C70"/>
      <c r="D70"/>
      <c r="E70"/>
      <c r="F70"/>
      <c r="G70"/>
      <c r="H70" s="19"/>
      <c r="I70" s="20"/>
      <c r="J70"/>
    </row>
    <row r="71" spans="1:10" x14ac:dyDescent="0.25">
      <c r="A71"/>
      <c r="B71"/>
      <c r="C71"/>
      <c r="D71"/>
      <c r="E71"/>
      <c r="F71"/>
      <c r="G71"/>
      <c r="H71" s="19"/>
      <c r="I71" s="20"/>
      <c r="J71"/>
    </row>
    <row r="72" spans="1:10" x14ac:dyDescent="0.25">
      <c r="A72"/>
      <c r="B72"/>
      <c r="C72"/>
      <c r="D72"/>
      <c r="E72"/>
      <c r="F72"/>
      <c r="G72"/>
      <c r="H72" s="19"/>
      <c r="I72" s="20"/>
      <c r="J72"/>
    </row>
    <row r="277" spans="1:11" s="46" customFormat="1" x14ac:dyDescent="0.25">
      <c r="A277" s="12"/>
      <c r="B277" s="12"/>
      <c r="C277" s="12"/>
      <c r="D277" s="12"/>
      <c r="E277" s="12"/>
      <c r="F277" s="12"/>
      <c r="G277" s="12"/>
      <c r="H277" s="45" t="b">
        <v>0</v>
      </c>
      <c r="J277" s="12"/>
      <c r="K277" s="12"/>
    </row>
  </sheetData>
  <protectedRanges>
    <protectedRange sqref="C39:C42 F39:F42" name="PP_5"/>
    <protectedRange sqref="C45:C47" name="PP_7"/>
    <protectedRange sqref="C63 C67:C69 F63:G64" name="PP_10"/>
    <protectedRange sqref="F59:F60 C58:C60" name="PP"/>
    <protectedRange sqref="C13:C17 F6:F8 F10:F12 C7:C10 C27:C28 C21:C24" name="PP_1"/>
    <protectedRange sqref="Q11 Q13:Q15" name="PP_1_1"/>
  </protectedRanges>
  <dataConsolidate/>
  <mergeCells count="4">
    <mergeCell ref="B59:B60"/>
    <mergeCell ref="C59:C60"/>
    <mergeCell ref="B63:B64"/>
    <mergeCell ref="C63:C64"/>
  </mergeCells>
  <conditionalFormatting sqref="C63">
    <cfRule type="containsText" dxfId="6" priority="12" operator="containsText" text="Risque faible">
      <formula>NOT(ISERROR(SEARCH("Risque faible",C63)))</formula>
    </cfRule>
    <cfRule type="containsText" dxfId="5" priority="13" operator="containsText" text="Risque élevé">
      <formula>NOT(ISERROR(SEARCH("Risque élevé",C63)))</formula>
    </cfRule>
    <cfRule type="containsText" dxfId="4" priority="14" operator="containsText" text="Risque moyen">
      <formula>NOT(ISERROR(SEARCH("Risque moyen",C63)))</formula>
    </cfRule>
  </conditionalFormatting>
  <conditionalFormatting sqref="G58:G60">
    <cfRule type="containsText" dxfId="3" priority="10" operator="containsText" text="Relation d'affaire en suspend">
      <formula>NOT(ISERROR(SEARCH("Relation d'affaire en suspend",G58)))</formula>
    </cfRule>
    <cfRule type="containsText" dxfId="2" priority="11" operator="containsText" text="Prière de dater et signer la copie du document d'identité obtenue">
      <formula>NOT(ISERROR(SEARCH("Prière de dater et signer la copie du document d'identité obtenue",G58)))</formula>
    </cfRule>
  </conditionalFormatting>
  <conditionalFormatting sqref="F10:F12 F6:F8">
    <cfRule type="expression" dxfId="1" priority="2">
      <formula>$H6="TRUE"</formula>
    </cfRule>
  </conditionalFormatting>
  <conditionalFormatting sqref="Q13:Q15 Q11">
    <cfRule type="expression" dxfId="0" priority="1">
      <formula>$H11="TRUE"</formula>
    </cfRule>
  </conditionalFormatting>
  <dataValidations count="2">
    <dataValidation type="list" allowBlank="1" showInputMessage="1" showErrorMessage="1" sqref="C23" xr:uid="{62EB16F5-5B18-4509-8F09-7B2C09B7EAC4}">
      <formula1>$R$11:$R$14</formula1>
    </dataValidation>
    <dataValidation type="list" allowBlank="1" showInputMessage="1" showErrorMessage="1" sqref="C8" xr:uid="{448C6793-C7B5-4177-A467-AB3AAB81DF40}">
      <formula1>$Q$11:$Q$15</formula1>
    </dataValidation>
  </dataValidations>
  <pageMargins left="0.7" right="0.7" top="0.75" bottom="0.75" header="0.3" footer="0.3"/>
  <pageSetup paperSize="9" scale="47" orientation="portrait" r:id="rId1"/>
  <colBreaks count="1" manualBreakCount="1">
    <brk id="7" max="67" man="1"/>
  </col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mpression">
                <anchor moveWithCells="1" sizeWithCells="1">
                  <from>
                    <xdr:col>0</xdr:col>
                    <xdr:colOff>228600</xdr:colOff>
                    <xdr:row>70</xdr:row>
                    <xdr:rowOff>19050</xdr:rowOff>
                  </from>
                  <to>
                    <xdr:col>2</xdr:col>
                    <xdr:colOff>0</xdr:colOff>
                    <xdr:row>72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6281BA00-16AA-4B7E-B5EB-DA74FB3BBD8D}">
          <x14:formula1>
            <xm:f>Options!$C$19:$C$21</xm:f>
          </x14:formula1>
          <xm:sqref>C63</xm:sqref>
        </x14:dataValidation>
        <x14:dataValidation type="list" allowBlank="1" showInputMessage="1" showErrorMessage="1" xr:uid="{DB4B2476-C9F3-409D-A1FD-5EBD029BECEF}">
          <x14:formula1>
            <xm:f>Options!$B$24:$B$28</xm:f>
          </x14:formula1>
          <xm:sqref>C26</xm:sqref>
        </x14:dataValidation>
        <x14:dataValidation type="list" allowBlank="1" showInputMessage="1" showErrorMessage="1" xr:uid="{4E46F534-8E79-46AA-8443-7C01BDFCA49C}">
          <x14:formula1>
            <xm:f>Options!$I$16:$I$20</xm:f>
          </x14:formula1>
          <xm:sqref>C24</xm:sqref>
        </x14:dataValidation>
        <x14:dataValidation type="list" allowBlank="1" showInputMessage="1" showErrorMessage="1" xr:uid="{82B4F7C8-C2C0-4A69-AF45-C94DECFE41F0}">
          <x14:formula1>
            <xm:f>Options!$M$13:$M$16</xm:f>
          </x14:formula1>
          <xm:sqref>C52:C55</xm:sqref>
        </x14:dataValidation>
        <x14:dataValidation type="list" allowBlank="1" showInputMessage="1" showErrorMessage="1" xr:uid="{0FE7A120-EED3-4331-891C-CE38380B99F4}">
          <x14:formula1>
            <xm:f>Options!$F$5:$F$6</xm:f>
          </x14:formula1>
          <xm:sqref>C58</xm:sqref>
        </x14:dataValidation>
        <x14:dataValidation type="list" allowBlank="1" showInputMessage="1" showErrorMessage="1" xr:uid="{B8560035-B8AA-4B50-A93C-54F091CD9C96}">
          <x14:formula1>
            <xm:f>Options!$E$36:$E$38</xm:f>
          </x14:formula1>
          <xm:sqref>F60</xm:sqref>
        </x14:dataValidation>
        <x14:dataValidation type="list" allowBlank="1" showInputMessage="1" showErrorMessage="1" xr:uid="{5E8D6A8E-9E86-4914-AF4F-9E57B4198424}">
          <x14:formula1>
            <xm:f>Options!$E$32:$E$33</xm:f>
          </x14:formula1>
          <xm:sqref>F59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9E4D4-DBB3-43BA-9F5B-7A686CBBBECC}">
  <dimension ref="B2:B29"/>
  <sheetViews>
    <sheetView showGridLines="0" zoomScaleNormal="100" workbookViewId="0">
      <selection activeCell="E23" sqref="E23"/>
    </sheetView>
  </sheetViews>
  <sheetFormatPr defaultColWidth="9.140625" defaultRowHeight="15" x14ac:dyDescent="0.25"/>
  <cols>
    <col min="1" max="1" width="3.28515625" customWidth="1"/>
  </cols>
  <sheetData>
    <row r="2" spans="2:2" x14ac:dyDescent="0.25">
      <c r="B2" s="113" t="s">
        <v>79</v>
      </c>
    </row>
    <row r="3" spans="2:2" x14ac:dyDescent="0.25">
      <c r="B3" s="8"/>
    </row>
    <row r="4" spans="2:2" x14ac:dyDescent="0.25">
      <c r="B4" t="s">
        <v>218</v>
      </c>
    </row>
    <row r="5" spans="2:2" x14ac:dyDescent="0.25">
      <c r="B5" t="s">
        <v>219</v>
      </c>
    </row>
    <row r="6" spans="2:2" x14ac:dyDescent="0.25">
      <c r="B6" t="s">
        <v>220</v>
      </c>
    </row>
    <row r="7" spans="2:2" x14ac:dyDescent="0.25">
      <c r="B7" t="s">
        <v>221</v>
      </c>
    </row>
    <row r="8" spans="2:2" x14ac:dyDescent="0.25">
      <c r="B8" t="s">
        <v>222</v>
      </c>
    </row>
    <row r="9" spans="2:2" x14ac:dyDescent="0.25">
      <c r="B9" t="s">
        <v>223</v>
      </c>
    </row>
    <row r="10" spans="2:2" x14ac:dyDescent="0.25">
      <c r="B10" t="s">
        <v>224</v>
      </c>
    </row>
    <row r="11" spans="2:2" x14ac:dyDescent="0.25">
      <c r="B11" t="s">
        <v>225</v>
      </c>
    </row>
    <row r="12" spans="2:2" x14ac:dyDescent="0.25">
      <c r="B12" t="s">
        <v>226</v>
      </c>
    </row>
    <row r="13" spans="2:2" x14ac:dyDescent="0.25">
      <c r="B13" t="s">
        <v>227</v>
      </c>
    </row>
    <row r="14" spans="2:2" x14ac:dyDescent="0.25">
      <c r="B14" t="s">
        <v>228</v>
      </c>
    </row>
    <row r="15" spans="2:2" x14ac:dyDescent="0.25">
      <c r="B15" t="s">
        <v>229</v>
      </c>
    </row>
    <row r="16" spans="2:2" x14ac:dyDescent="0.25">
      <c r="B16" t="s">
        <v>230</v>
      </c>
    </row>
    <row r="17" spans="2:2" x14ac:dyDescent="0.25">
      <c r="B17" t="s">
        <v>231</v>
      </c>
    </row>
    <row r="18" spans="2:2" x14ac:dyDescent="0.25">
      <c r="B18" t="s">
        <v>232</v>
      </c>
    </row>
    <row r="19" spans="2:2" x14ac:dyDescent="0.25">
      <c r="B19" t="s">
        <v>233</v>
      </c>
    </row>
    <row r="20" spans="2:2" x14ac:dyDescent="0.25">
      <c r="B20" t="s">
        <v>234</v>
      </c>
    </row>
    <row r="21" spans="2:2" x14ac:dyDescent="0.25">
      <c r="B21" t="s">
        <v>235</v>
      </c>
    </row>
    <row r="22" spans="2:2" x14ac:dyDescent="0.25">
      <c r="B22" t="s">
        <v>236</v>
      </c>
    </row>
    <row r="23" spans="2:2" x14ac:dyDescent="0.25">
      <c r="B23" t="s">
        <v>237</v>
      </c>
    </row>
    <row r="24" spans="2:2" x14ac:dyDescent="0.25">
      <c r="B24" t="s">
        <v>238</v>
      </c>
    </row>
    <row r="25" spans="2:2" x14ac:dyDescent="0.25">
      <c r="B25" t="s">
        <v>239</v>
      </c>
    </row>
    <row r="26" spans="2:2" x14ac:dyDescent="0.25">
      <c r="B26" t="s">
        <v>240</v>
      </c>
    </row>
    <row r="27" spans="2:2" x14ac:dyDescent="0.25">
      <c r="B27" t="s">
        <v>241</v>
      </c>
    </row>
    <row r="28" spans="2:2" x14ac:dyDescent="0.25">
      <c r="B28" t="s">
        <v>242</v>
      </c>
    </row>
    <row r="29" spans="2:2" x14ac:dyDescent="0.25">
      <c r="B29" t="s">
        <v>243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79734-604F-4D08-A788-43CD5A87B68E}">
  <sheetPr codeName="Sheet4"/>
  <dimension ref="B2:M38"/>
  <sheetViews>
    <sheetView workbookViewId="0">
      <selection activeCell="C7" sqref="C7"/>
    </sheetView>
  </sheetViews>
  <sheetFormatPr defaultColWidth="9.140625" defaultRowHeight="15" x14ac:dyDescent="0.25"/>
  <cols>
    <col min="1" max="1" width="3.7109375" customWidth="1"/>
    <col min="2" max="2" width="11.140625" customWidth="1"/>
    <col min="3" max="3" width="40.85546875" customWidth="1"/>
    <col min="5" max="5" width="13.7109375" customWidth="1"/>
  </cols>
  <sheetData>
    <row r="2" spans="2:13" x14ac:dyDescent="0.25">
      <c r="B2" s="21" t="s">
        <v>9</v>
      </c>
    </row>
    <row r="4" spans="2:13" x14ac:dyDescent="0.25">
      <c r="B4" s="21" t="s">
        <v>12</v>
      </c>
      <c r="E4" s="21" t="s">
        <v>19</v>
      </c>
      <c r="I4" s="21" t="s">
        <v>125</v>
      </c>
      <c r="M4" s="98" t="s">
        <v>159</v>
      </c>
    </row>
    <row r="5" spans="2:13" x14ac:dyDescent="0.25">
      <c r="C5" t="s">
        <v>10</v>
      </c>
      <c r="F5" t="s">
        <v>16</v>
      </c>
      <c r="J5" t="s">
        <v>14</v>
      </c>
      <c r="M5" t="s">
        <v>160</v>
      </c>
    </row>
    <row r="6" spans="2:13" x14ac:dyDescent="0.25">
      <c r="C6" t="s">
        <v>11</v>
      </c>
      <c r="F6" t="s">
        <v>17</v>
      </c>
      <c r="J6" t="s">
        <v>126</v>
      </c>
      <c r="M6" t="s">
        <v>161</v>
      </c>
    </row>
    <row r="7" spans="2:13" x14ac:dyDescent="0.25">
      <c r="C7" t="s">
        <v>90</v>
      </c>
      <c r="J7" t="s">
        <v>129</v>
      </c>
      <c r="M7" t="s">
        <v>162</v>
      </c>
    </row>
    <row r="8" spans="2:13" x14ac:dyDescent="0.25">
      <c r="C8" t="s">
        <v>215</v>
      </c>
      <c r="J8" t="s">
        <v>127</v>
      </c>
      <c r="M8" t="s">
        <v>132</v>
      </c>
    </row>
    <row r="9" spans="2:13" x14ac:dyDescent="0.25">
      <c r="J9" t="s">
        <v>15</v>
      </c>
    </row>
    <row r="10" spans="2:13" x14ac:dyDescent="0.25">
      <c r="E10" s="21" t="s">
        <v>20</v>
      </c>
      <c r="J10" t="s">
        <v>134</v>
      </c>
    </row>
    <row r="11" spans="2:13" x14ac:dyDescent="0.25">
      <c r="F11" t="s">
        <v>139</v>
      </c>
      <c r="J11" t="s">
        <v>135</v>
      </c>
    </row>
    <row r="12" spans="2:13" x14ac:dyDescent="0.25">
      <c r="F12" t="s">
        <v>22</v>
      </c>
      <c r="J12" t="s">
        <v>132</v>
      </c>
      <c r="M12" s="98" t="s">
        <v>81</v>
      </c>
    </row>
    <row r="13" spans="2:13" x14ac:dyDescent="0.25">
      <c r="F13" t="s">
        <v>21</v>
      </c>
      <c r="M13" t="s">
        <v>184</v>
      </c>
    </row>
    <row r="14" spans="2:13" x14ac:dyDescent="0.25">
      <c r="F14" t="s">
        <v>23</v>
      </c>
      <c r="M14" t="s">
        <v>185</v>
      </c>
    </row>
    <row r="15" spans="2:13" x14ac:dyDescent="0.25">
      <c r="F15" t="s">
        <v>15</v>
      </c>
      <c r="I15" s="98" t="s">
        <v>143</v>
      </c>
      <c r="M15" t="s">
        <v>186</v>
      </c>
    </row>
    <row r="16" spans="2:13" x14ac:dyDescent="0.25">
      <c r="F16" t="s">
        <v>132</v>
      </c>
      <c r="I16" t="s">
        <v>145</v>
      </c>
      <c r="M16" t="s">
        <v>132</v>
      </c>
    </row>
    <row r="17" spans="2:9" x14ac:dyDescent="0.25">
      <c r="I17" t="s">
        <v>144</v>
      </c>
    </row>
    <row r="18" spans="2:9" x14ac:dyDescent="0.25">
      <c r="B18" s="21" t="s">
        <v>25</v>
      </c>
      <c r="E18" s="21" t="s">
        <v>82</v>
      </c>
      <c r="I18" t="s">
        <v>146</v>
      </c>
    </row>
    <row r="19" spans="2:9" x14ac:dyDescent="0.25">
      <c r="C19" t="s">
        <v>26</v>
      </c>
      <c r="F19" t="s">
        <v>183</v>
      </c>
      <c r="I19" t="s">
        <v>147</v>
      </c>
    </row>
    <row r="20" spans="2:9" x14ac:dyDescent="0.25">
      <c r="C20" t="s">
        <v>27</v>
      </c>
      <c r="F20" t="s">
        <v>83</v>
      </c>
      <c r="I20" t="s">
        <v>132</v>
      </c>
    </row>
    <row r="21" spans="2:9" x14ac:dyDescent="0.25">
      <c r="C21" t="s">
        <v>28</v>
      </c>
    </row>
    <row r="23" spans="2:9" x14ac:dyDescent="0.25">
      <c r="B23" s="21" t="s">
        <v>85</v>
      </c>
      <c r="E23" s="21" t="s">
        <v>91</v>
      </c>
      <c r="I23" s="21" t="s">
        <v>154</v>
      </c>
    </row>
    <row r="24" spans="2:9" x14ac:dyDescent="0.25">
      <c r="B24" t="s">
        <v>202</v>
      </c>
      <c r="E24" t="s">
        <v>99</v>
      </c>
      <c r="I24" t="s">
        <v>155</v>
      </c>
    </row>
    <row r="25" spans="2:9" x14ac:dyDescent="0.25">
      <c r="B25" t="s">
        <v>86</v>
      </c>
      <c r="E25" t="s">
        <v>100</v>
      </c>
      <c r="I25" t="s">
        <v>156</v>
      </c>
    </row>
    <row r="26" spans="2:9" x14ac:dyDescent="0.25">
      <c r="B26" t="s">
        <v>87</v>
      </c>
      <c r="E26" t="s">
        <v>101</v>
      </c>
    </row>
    <row r="27" spans="2:9" x14ac:dyDescent="0.25">
      <c r="B27" t="s">
        <v>88</v>
      </c>
      <c r="E27" t="s">
        <v>102</v>
      </c>
    </row>
    <row r="28" spans="2:9" x14ac:dyDescent="0.25">
      <c r="B28" t="s">
        <v>132</v>
      </c>
      <c r="E28" t="s">
        <v>92</v>
      </c>
    </row>
    <row r="29" spans="2:9" x14ac:dyDescent="0.25">
      <c r="E29" t="s">
        <v>152</v>
      </c>
    </row>
    <row r="30" spans="2:9" x14ac:dyDescent="0.25">
      <c r="B30" t="s">
        <v>1</v>
      </c>
    </row>
    <row r="31" spans="2:9" x14ac:dyDescent="0.25">
      <c r="B31" s="9" t="s">
        <v>0</v>
      </c>
      <c r="E31" s="21" t="s">
        <v>111</v>
      </c>
    </row>
    <row r="32" spans="2:9" x14ac:dyDescent="0.25">
      <c r="E32" t="s">
        <v>112</v>
      </c>
    </row>
    <row r="33" spans="2:5" x14ac:dyDescent="0.25">
      <c r="E33" t="s">
        <v>113</v>
      </c>
    </row>
    <row r="34" spans="2:5" x14ac:dyDescent="0.25">
      <c r="B34" s="98" t="s">
        <v>131</v>
      </c>
    </row>
    <row r="35" spans="2:5" x14ac:dyDescent="0.25">
      <c r="B35" t="s">
        <v>103</v>
      </c>
      <c r="E35" s="21" t="s">
        <v>115</v>
      </c>
    </row>
    <row r="36" spans="2:5" x14ac:dyDescent="0.25">
      <c r="B36" t="s">
        <v>132</v>
      </c>
      <c r="E36" t="s">
        <v>116</v>
      </c>
    </row>
    <row r="37" spans="2:5" x14ac:dyDescent="0.25">
      <c r="E37" t="s">
        <v>117</v>
      </c>
    </row>
    <row r="38" spans="2:5" x14ac:dyDescent="0.25">
      <c r="E38" t="s">
        <v>132</v>
      </c>
    </row>
  </sheetData>
  <hyperlinks>
    <hyperlink ref="B31" r:id="rId1" xr:uid="{CBD43128-A5EE-4E16-836F-C19B922AAC1B}"/>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1BFB-2E97-4720-AED7-0B11811CE13A}">
  <dimension ref="B1:B59"/>
  <sheetViews>
    <sheetView topLeftCell="A13" workbookViewId="0">
      <selection activeCell="B33" sqref="B33"/>
    </sheetView>
  </sheetViews>
  <sheetFormatPr defaultColWidth="9.140625" defaultRowHeight="15" x14ac:dyDescent="0.25"/>
  <cols>
    <col min="1" max="1" width="3.28515625" customWidth="1"/>
    <col min="2" max="2" width="44.42578125" style="3" customWidth="1"/>
  </cols>
  <sheetData>
    <row r="1" spans="2:2" ht="15.75" x14ac:dyDescent="0.25">
      <c r="B1" s="7" t="s">
        <v>78</v>
      </c>
    </row>
    <row r="2" spans="2:2" ht="15.75" x14ac:dyDescent="0.25">
      <c r="B2" s="7"/>
    </row>
    <row r="3" spans="2:2" ht="15" customHeight="1" x14ac:dyDescent="0.25">
      <c r="B3" s="5" t="s">
        <v>29</v>
      </c>
    </row>
    <row r="4" spans="2:2" x14ac:dyDescent="0.25">
      <c r="B4" s="1" t="s">
        <v>30</v>
      </c>
    </row>
    <row r="5" spans="2:2" x14ac:dyDescent="0.25">
      <c r="B5" s="1" t="s">
        <v>32</v>
      </c>
    </row>
    <row r="6" spans="2:2" x14ac:dyDescent="0.25">
      <c r="B6" s="1" t="s">
        <v>34</v>
      </c>
    </row>
    <row r="7" spans="2:2" x14ac:dyDescent="0.25">
      <c r="B7" s="2" t="s">
        <v>36</v>
      </c>
    </row>
    <row r="8" spans="2:2" x14ac:dyDescent="0.25">
      <c r="B8" s="1" t="s">
        <v>38</v>
      </c>
    </row>
    <row r="9" spans="2:2" x14ac:dyDescent="0.25">
      <c r="B9" s="1" t="s">
        <v>40</v>
      </c>
    </row>
    <row r="10" spans="2:2" x14ac:dyDescent="0.25">
      <c r="B10" s="1" t="s">
        <v>42</v>
      </c>
    </row>
    <row r="11" spans="2:2" x14ac:dyDescent="0.25">
      <c r="B11" s="1" t="s">
        <v>31</v>
      </c>
    </row>
    <row r="12" spans="2:2" x14ac:dyDescent="0.25">
      <c r="B12" s="1" t="s">
        <v>33</v>
      </c>
    </row>
    <row r="13" spans="2:2" x14ac:dyDescent="0.25">
      <c r="B13" s="1" t="s">
        <v>35</v>
      </c>
    </row>
    <row r="14" spans="2:2" x14ac:dyDescent="0.25">
      <c r="B14" s="1" t="s">
        <v>37</v>
      </c>
    </row>
    <row r="15" spans="2:2" x14ac:dyDescent="0.25">
      <c r="B15" s="1" t="s">
        <v>39</v>
      </c>
    </row>
    <row r="16" spans="2:2" x14ac:dyDescent="0.25">
      <c r="B16" s="1" t="s">
        <v>41</v>
      </c>
    </row>
    <row r="17" spans="2:2" x14ac:dyDescent="0.25">
      <c r="B17" s="1" t="s">
        <v>43</v>
      </c>
    </row>
    <row r="18" spans="2:2" x14ac:dyDescent="0.25">
      <c r="B18" s="6" t="s">
        <v>44</v>
      </c>
    </row>
    <row r="20" spans="2:2" ht="15" customHeight="1" x14ac:dyDescent="0.25">
      <c r="B20" s="5" t="s">
        <v>45</v>
      </c>
    </row>
    <row r="21" spans="2:2" x14ac:dyDescent="0.25">
      <c r="B21" s="4"/>
    </row>
    <row r="22" spans="2:2" x14ac:dyDescent="0.25">
      <c r="B22" s="1" t="s">
        <v>46</v>
      </c>
    </row>
    <row r="23" spans="2:2" x14ac:dyDescent="0.25">
      <c r="B23" s="1" t="s">
        <v>48</v>
      </c>
    </row>
    <row r="24" spans="2:2" x14ac:dyDescent="0.25">
      <c r="B24" s="1" t="s">
        <v>50</v>
      </c>
    </row>
    <row r="25" spans="2:2" x14ac:dyDescent="0.25">
      <c r="B25" s="2" t="s">
        <v>52</v>
      </c>
    </row>
    <row r="26" spans="2:2" x14ac:dyDescent="0.25">
      <c r="B26" s="1" t="s">
        <v>54</v>
      </c>
    </row>
    <row r="27" spans="2:2" x14ac:dyDescent="0.25">
      <c r="B27" s="1" t="s">
        <v>56</v>
      </c>
    </row>
    <row r="28" spans="2:2" x14ac:dyDescent="0.25">
      <c r="B28" s="1" t="s">
        <v>57</v>
      </c>
    </row>
    <row r="29" spans="2:2" x14ac:dyDescent="0.25">
      <c r="B29" s="1" t="s">
        <v>59</v>
      </c>
    </row>
    <row r="30" spans="2:2" x14ac:dyDescent="0.25">
      <c r="B30" s="1" t="s">
        <v>47</v>
      </c>
    </row>
    <row r="31" spans="2:2" x14ac:dyDescent="0.25">
      <c r="B31" s="1" t="s">
        <v>49</v>
      </c>
    </row>
    <row r="32" spans="2:2" x14ac:dyDescent="0.25">
      <c r="B32" s="1" t="s">
        <v>51</v>
      </c>
    </row>
    <row r="33" spans="2:2" x14ac:dyDescent="0.25">
      <c r="B33" s="1" t="s">
        <v>53</v>
      </c>
    </row>
    <row r="34" spans="2:2" x14ac:dyDescent="0.25">
      <c r="B34" s="1" t="s">
        <v>55</v>
      </c>
    </row>
    <row r="35" spans="2:2" x14ac:dyDescent="0.25">
      <c r="B35" s="1" t="s">
        <v>39</v>
      </c>
    </row>
    <row r="36" spans="2:2" x14ac:dyDescent="0.25">
      <c r="B36" s="1" t="s">
        <v>58</v>
      </c>
    </row>
    <row r="37" spans="2:2" x14ac:dyDescent="0.25">
      <c r="B37" s="6" t="s">
        <v>60</v>
      </c>
    </row>
    <row r="39" spans="2:2" ht="21.75" customHeight="1" x14ac:dyDescent="0.25">
      <c r="B39" s="5" t="s">
        <v>61</v>
      </c>
    </row>
    <row r="40" spans="2:2" x14ac:dyDescent="0.25">
      <c r="B40" s="1" t="s">
        <v>62</v>
      </c>
    </row>
    <row r="41" spans="2:2" x14ac:dyDescent="0.25">
      <c r="B41" s="1" t="s">
        <v>64</v>
      </c>
    </row>
    <row r="42" spans="2:2" x14ac:dyDescent="0.25">
      <c r="B42" s="1" t="s">
        <v>36</v>
      </c>
    </row>
    <row r="43" spans="2:2" x14ac:dyDescent="0.25">
      <c r="B43" s="1" t="s">
        <v>67</v>
      </c>
    </row>
    <row r="44" spans="2:2" x14ac:dyDescent="0.25">
      <c r="B44" s="1" t="s">
        <v>42</v>
      </c>
    </row>
    <row r="45" spans="2:2" x14ac:dyDescent="0.25">
      <c r="B45" s="1" t="s">
        <v>69</v>
      </c>
    </row>
    <row r="46" spans="2:2" x14ac:dyDescent="0.25">
      <c r="B46" s="1" t="s">
        <v>71</v>
      </c>
    </row>
    <row r="47" spans="2:2" x14ac:dyDescent="0.25">
      <c r="B47" s="1" t="s">
        <v>73</v>
      </c>
    </row>
    <row r="48" spans="2:2" x14ac:dyDescent="0.25">
      <c r="B48" s="1" t="s">
        <v>74</v>
      </c>
    </row>
    <row r="49" spans="2:2" x14ac:dyDescent="0.25">
      <c r="B49" s="1" t="s">
        <v>76</v>
      </c>
    </row>
    <row r="50" spans="2:2" x14ac:dyDescent="0.25">
      <c r="B50" s="1" t="s">
        <v>63</v>
      </c>
    </row>
    <row r="51" spans="2:2" x14ac:dyDescent="0.25">
      <c r="B51" s="1" t="s">
        <v>65</v>
      </c>
    </row>
    <row r="52" spans="2:2" x14ac:dyDescent="0.25">
      <c r="B52" s="1" t="s">
        <v>66</v>
      </c>
    </row>
    <row r="53" spans="2:2" x14ac:dyDescent="0.25">
      <c r="B53" s="1" t="s">
        <v>68</v>
      </c>
    </row>
    <row r="54" spans="2:2" x14ac:dyDescent="0.25">
      <c r="B54" s="1" t="s">
        <v>37</v>
      </c>
    </row>
    <row r="55" spans="2:2" x14ac:dyDescent="0.25">
      <c r="B55" s="1" t="s">
        <v>70</v>
      </c>
    </row>
    <row r="56" spans="2:2" x14ac:dyDescent="0.25">
      <c r="B56" s="1" t="s">
        <v>72</v>
      </c>
    </row>
    <row r="57" spans="2:2" x14ac:dyDescent="0.25">
      <c r="B57" s="1" t="s">
        <v>43</v>
      </c>
    </row>
    <row r="58" spans="2:2" x14ac:dyDescent="0.25">
      <c r="B58" s="1" t="s">
        <v>75</v>
      </c>
    </row>
    <row r="59" spans="2:2" s="6" customFormat="1" x14ac:dyDescent="0.25">
      <c r="B59" s="6" t="s">
        <v>77</v>
      </c>
    </row>
  </sheetData>
  <hyperlinks>
    <hyperlink ref="B37" r:id="rId1" xr:uid="{F7CC4F95-F325-4E3D-A645-CE9EF7825BA2}"/>
    <hyperlink ref="B59" r:id="rId2" xr:uid="{DAD2D4AE-E5B5-4DF0-A74B-69D550136D27}"/>
  </hyperlinks>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PP-CLIENT</vt:lpstr>
      <vt:lpstr>PP-CLIENT-LOCATION</vt:lpstr>
      <vt:lpstr>PM-CLIENT</vt:lpstr>
      <vt:lpstr>PM-CLIENT-LOCATION</vt:lpstr>
      <vt:lpstr>PP-MANDATAIRE</vt:lpstr>
      <vt:lpstr>PP-MANDATAIRE-LOCATION</vt:lpstr>
      <vt:lpstr>PM-MANDATAIRE</vt:lpstr>
      <vt:lpstr>Màj</vt:lpstr>
      <vt:lpstr>PM-MANDATAIRE-LOCATION</vt:lpstr>
      <vt:lpstr>Liste facteurs</vt:lpstr>
      <vt:lpstr>Options</vt:lpstr>
      <vt:lpstr>Risque géographique</vt:lpstr>
      <vt:lpstr>'PM-CLIENT'!Print_Area</vt:lpstr>
      <vt:lpstr>'PM-CLIENT-LOCATION'!Print_Area</vt:lpstr>
      <vt:lpstr>'PM-MANDATAIRE'!Print_Area</vt:lpstr>
      <vt:lpstr>'PM-MANDATAIRE-LOCATION'!Print_Area</vt:lpstr>
      <vt:lpstr>'PP-CLIENT'!Print_Area</vt:lpstr>
      <vt:lpstr>'PP-CLIENT-LOCATION'!Print_Area</vt:lpstr>
      <vt:lpstr>'PP-MANDATAIRE'!Print_Area</vt:lpstr>
      <vt:lpstr>'PP-MANDATAIRE-LOCATION'!Print_Area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Marc-Antoine Gruet</dc:creator>
  <cp:lastModifiedBy>Goran Scopetta</cp:lastModifiedBy>
  <cp:lastPrinted>2024-10-25T10:50:52Z</cp:lastPrinted>
  <dcterms:created xsi:type="dcterms:W3CDTF">2015-06-05T18:17:20Z</dcterms:created>
  <dcterms:modified xsi:type="dcterms:W3CDTF">2025-02-11T10:50:20Z</dcterms:modified>
</cp:coreProperties>
</file>